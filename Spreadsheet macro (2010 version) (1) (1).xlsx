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66925"/>
  <xr:revisionPtr revIDLastSave="2" documentId="11_4FFA4BF196691C631A0072C4681FF6BE336ACA5E" xr6:coauthVersionLast="47" xr6:coauthVersionMax="47" xr10:uidLastSave="{88AB7B46-FFC7-4487-8ECF-5C970BA0D163}"/>
  <bookViews>
    <workbookView xWindow="0" yWindow="0" windowWidth="0" windowHeight="0" xr2:uid="{00000000-000D-0000-FFFF-FFFF00000000}"/>
  </bookViews>
  <sheets>
    <sheet name="BTEC PROGRESS MONITORING" sheetId="1" r:id="rId1"/>
    <sheet name="LOOKUP TABLES" sheetId="2" r:id="rId2"/>
    <sheet name="ANALYSIS" sheetId="3" r:id="rId3"/>
  </sheets>
  <definedNames>
    <definedName name="FINALGRADES">'LOOKUP TABLES'!$H$2:$K$13</definedName>
    <definedName name="TARGETPOINTS">'LOOKUP TABLES'!$J$2:$K$13</definedName>
    <definedName name="UNITGRADES">'LOOKUP TABLES'!$E$2:$F$7</definedName>
    <definedName name="UNITS">'LOOKUP TABLES'!$A$2:$C$24</definedName>
    <definedName name="Z_3E792FF6_49C6_4C78_A74A_F1A3DC3CC893_.wvu.FilterData" localSheetId="0">'BTEC PROGRESS MONITORING'!$A$3:$G$4</definedName>
    <definedName name="Z_3E792FF6_49C6_4C78_A74A_F1A3DC3CC893_.wvu.PrintArea" localSheetId="0">'BTEC PROGRESS MONITORING'!$A$1:$G$103</definedName>
  </definedNames>
  <calcPr calcId="191028"/>
  <pivotCaches>
    <pivotCache cacheId="1506"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03" i="1" l="1"/>
  <c r="AS103" i="1"/>
  <c r="AQ103" i="1"/>
  <c r="AO103" i="1"/>
  <c r="AM103" i="1"/>
  <c r="AK103" i="1"/>
  <c r="AI103" i="1"/>
  <c r="AG103" i="1"/>
  <c r="AE103" i="1"/>
  <c r="AC103" i="1"/>
  <c r="Y103" i="1"/>
  <c r="W103" i="1"/>
  <c r="U103" i="1"/>
  <c r="S103" i="1"/>
  <c r="Q103" i="1"/>
  <c r="O103" i="1"/>
  <c r="M103" i="1"/>
  <c r="K103" i="1"/>
  <c r="I103" i="1"/>
  <c r="AZ102" i="1"/>
  <c r="AS102" i="1"/>
  <c r="AQ102" i="1"/>
  <c r="AO102" i="1"/>
  <c r="AM102" i="1"/>
  <c r="AK102" i="1"/>
  <c r="AI102" i="1"/>
  <c r="AG102" i="1"/>
  <c r="AE102" i="1"/>
  <c r="AC102" i="1"/>
  <c r="Y102" i="1"/>
  <c r="W102" i="1"/>
  <c r="U102" i="1"/>
  <c r="S102" i="1"/>
  <c r="Q102" i="1"/>
  <c r="O102" i="1"/>
  <c r="M102" i="1"/>
  <c r="K102" i="1"/>
  <c r="I102" i="1"/>
  <c r="AZ101" i="1"/>
  <c r="AS101" i="1"/>
  <c r="AQ101" i="1"/>
  <c r="AO101" i="1"/>
  <c r="AM101" i="1"/>
  <c r="AK101" i="1"/>
  <c r="AI101" i="1"/>
  <c r="AG101" i="1"/>
  <c r="AE101" i="1"/>
  <c r="AC101" i="1"/>
  <c r="Y101" i="1"/>
  <c r="W101" i="1"/>
  <c r="U101" i="1"/>
  <c r="S101" i="1"/>
  <c r="Q101" i="1"/>
  <c r="O101" i="1"/>
  <c r="M101" i="1"/>
  <c r="K101" i="1"/>
  <c r="I101" i="1"/>
  <c r="AZ100" i="1"/>
  <c r="AS100" i="1"/>
  <c r="AQ100" i="1"/>
  <c r="AO100" i="1"/>
  <c r="AM100" i="1"/>
  <c r="AK100" i="1"/>
  <c r="AI100" i="1"/>
  <c r="AG100" i="1"/>
  <c r="AE100" i="1"/>
  <c r="AC100" i="1"/>
  <c r="Y100" i="1"/>
  <c r="W100" i="1"/>
  <c r="U100" i="1"/>
  <c r="S100" i="1"/>
  <c r="Q100" i="1"/>
  <c r="O100" i="1"/>
  <c r="M100" i="1"/>
  <c r="K100" i="1"/>
  <c r="I100" i="1"/>
  <c r="AZ99" i="1"/>
  <c r="AS99" i="1"/>
  <c r="AQ99" i="1"/>
  <c r="AO99" i="1"/>
  <c r="AM99" i="1"/>
  <c r="AK99" i="1"/>
  <c r="AI99" i="1"/>
  <c r="AG99" i="1"/>
  <c r="AE99" i="1"/>
  <c r="AC99" i="1"/>
  <c r="Y99" i="1"/>
  <c r="W99" i="1"/>
  <c r="U99" i="1"/>
  <c r="S99" i="1"/>
  <c r="Q99" i="1"/>
  <c r="O99" i="1"/>
  <c r="M99" i="1"/>
  <c r="K99" i="1"/>
  <c r="I99" i="1"/>
  <c r="AZ98" i="1"/>
  <c r="AS98" i="1"/>
  <c r="AQ98" i="1"/>
  <c r="AO98" i="1"/>
  <c r="AM98" i="1"/>
  <c r="AK98" i="1"/>
  <c r="AI98" i="1"/>
  <c r="AG98" i="1"/>
  <c r="AE98" i="1"/>
  <c r="AC98" i="1"/>
  <c r="Y98" i="1"/>
  <c r="W98" i="1"/>
  <c r="U98" i="1"/>
  <c r="S98" i="1"/>
  <c r="Q98" i="1"/>
  <c r="O98" i="1"/>
  <c r="M98" i="1"/>
  <c r="K98" i="1"/>
  <c r="I98" i="1"/>
  <c r="AZ97" i="1"/>
  <c r="AS97" i="1"/>
  <c r="AQ97" i="1"/>
  <c r="AO97" i="1"/>
  <c r="AM97" i="1"/>
  <c r="AK97" i="1"/>
  <c r="AI97" i="1"/>
  <c r="AG97" i="1"/>
  <c r="AE97" i="1"/>
  <c r="AC97" i="1"/>
  <c r="Y97" i="1"/>
  <c r="W97" i="1"/>
  <c r="U97" i="1"/>
  <c r="S97" i="1"/>
  <c r="Q97" i="1"/>
  <c r="O97" i="1"/>
  <c r="M97" i="1"/>
  <c r="K97" i="1"/>
  <c r="I97" i="1"/>
  <c r="AZ96" i="1"/>
  <c r="AS96" i="1"/>
  <c r="AQ96" i="1"/>
  <c r="AO96" i="1"/>
  <c r="AM96" i="1"/>
  <c r="AK96" i="1"/>
  <c r="AI96" i="1"/>
  <c r="AG96" i="1"/>
  <c r="AE96" i="1"/>
  <c r="AC96" i="1"/>
  <c r="Y96" i="1"/>
  <c r="W96" i="1"/>
  <c r="U96" i="1"/>
  <c r="S96" i="1"/>
  <c r="Q96" i="1"/>
  <c r="O96" i="1"/>
  <c r="M96" i="1"/>
  <c r="K96" i="1"/>
  <c r="I96" i="1"/>
  <c r="AZ95" i="1"/>
  <c r="AS95" i="1"/>
  <c r="AQ95" i="1"/>
  <c r="AO95" i="1"/>
  <c r="AM95" i="1"/>
  <c r="AK95" i="1"/>
  <c r="AI95" i="1"/>
  <c r="AG95" i="1"/>
  <c r="AE95" i="1"/>
  <c r="AC95" i="1"/>
  <c r="Y95" i="1"/>
  <c r="W95" i="1"/>
  <c r="U95" i="1"/>
  <c r="S95" i="1"/>
  <c r="Q95" i="1"/>
  <c r="O95" i="1"/>
  <c r="M95" i="1"/>
  <c r="K95" i="1"/>
  <c r="I95" i="1"/>
  <c r="AZ94" i="1"/>
  <c r="AS94" i="1"/>
  <c r="AQ94" i="1"/>
  <c r="AO94" i="1"/>
  <c r="AM94" i="1"/>
  <c r="AK94" i="1"/>
  <c r="AI94" i="1"/>
  <c r="AG94" i="1"/>
  <c r="AE94" i="1"/>
  <c r="AC94" i="1"/>
  <c r="Y94" i="1"/>
  <c r="W94" i="1"/>
  <c r="U94" i="1"/>
  <c r="S94" i="1"/>
  <c r="Q94" i="1"/>
  <c r="O94" i="1"/>
  <c r="M94" i="1"/>
  <c r="K94" i="1"/>
  <c r="I94" i="1"/>
  <c r="AZ93" i="1"/>
  <c r="AS93" i="1"/>
  <c r="AQ93" i="1"/>
  <c r="AO93" i="1"/>
  <c r="AM93" i="1"/>
  <c r="AK93" i="1"/>
  <c r="AI93" i="1"/>
  <c r="AG93" i="1"/>
  <c r="AE93" i="1"/>
  <c r="AC93" i="1"/>
  <c r="Y93" i="1"/>
  <c r="W93" i="1"/>
  <c r="U93" i="1"/>
  <c r="S93" i="1"/>
  <c r="Q93" i="1"/>
  <c r="O93" i="1"/>
  <c r="M93" i="1"/>
  <c r="K93" i="1"/>
  <c r="I93" i="1"/>
  <c r="AZ92" i="1"/>
  <c r="AS92" i="1"/>
  <c r="AQ92" i="1"/>
  <c r="AO92" i="1"/>
  <c r="AM92" i="1"/>
  <c r="AK92" i="1"/>
  <c r="AI92" i="1"/>
  <c r="AG92" i="1"/>
  <c r="AE92" i="1"/>
  <c r="AC92" i="1"/>
  <c r="Y92" i="1"/>
  <c r="W92" i="1"/>
  <c r="U92" i="1"/>
  <c r="S92" i="1"/>
  <c r="Q92" i="1"/>
  <c r="O92" i="1"/>
  <c r="M92" i="1"/>
  <c r="K92" i="1"/>
  <c r="I92" i="1"/>
  <c r="AZ91" i="1"/>
  <c r="AS91" i="1"/>
  <c r="AQ91" i="1"/>
  <c r="AO91" i="1"/>
  <c r="AM91" i="1"/>
  <c r="AK91" i="1"/>
  <c r="AI91" i="1"/>
  <c r="AG91" i="1"/>
  <c r="AE91" i="1"/>
  <c r="AC91" i="1"/>
  <c r="Y91" i="1"/>
  <c r="W91" i="1"/>
  <c r="U91" i="1"/>
  <c r="S91" i="1"/>
  <c r="Q91" i="1"/>
  <c r="O91" i="1"/>
  <c r="M91" i="1"/>
  <c r="K91" i="1"/>
  <c r="I91" i="1"/>
  <c r="AZ90" i="1"/>
  <c r="AS90" i="1"/>
  <c r="AQ90" i="1"/>
  <c r="AO90" i="1"/>
  <c r="AM90" i="1"/>
  <c r="AK90" i="1"/>
  <c r="AI90" i="1"/>
  <c r="AG90" i="1"/>
  <c r="AE90" i="1"/>
  <c r="AC90" i="1"/>
  <c r="Y90" i="1"/>
  <c r="W90" i="1"/>
  <c r="U90" i="1"/>
  <c r="S90" i="1"/>
  <c r="Q90" i="1"/>
  <c r="O90" i="1"/>
  <c r="M90" i="1"/>
  <c r="K90" i="1"/>
  <c r="I90" i="1"/>
  <c r="AZ89" i="1"/>
  <c r="AS89" i="1"/>
  <c r="AQ89" i="1"/>
  <c r="AO89" i="1"/>
  <c r="AM89" i="1"/>
  <c r="AK89" i="1"/>
  <c r="AI89" i="1"/>
  <c r="AG89" i="1"/>
  <c r="AE89" i="1"/>
  <c r="AC89" i="1"/>
  <c r="Y89" i="1"/>
  <c r="W89" i="1"/>
  <c r="U89" i="1"/>
  <c r="S89" i="1"/>
  <c r="Q89" i="1"/>
  <c r="O89" i="1"/>
  <c r="M89" i="1"/>
  <c r="K89" i="1"/>
  <c r="I89" i="1"/>
  <c r="AZ88" i="1"/>
  <c r="AS88" i="1"/>
  <c r="AQ88" i="1"/>
  <c r="AO88" i="1"/>
  <c r="AM88" i="1"/>
  <c r="AK88" i="1"/>
  <c r="AI88" i="1"/>
  <c r="AG88" i="1"/>
  <c r="AE88" i="1"/>
  <c r="AC88" i="1"/>
  <c r="Y88" i="1"/>
  <c r="W88" i="1"/>
  <c r="U88" i="1"/>
  <c r="S88" i="1"/>
  <c r="Q88" i="1"/>
  <c r="O88" i="1"/>
  <c r="M88" i="1"/>
  <c r="K88" i="1"/>
  <c r="I88" i="1"/>
  <c r="AZ87" i="1"/>
  <c r="AS87" i="1"/>
  <c r="AQ87" i="1"/>
  <c r="AO87" i="1"/>
  <c r="AM87" i="1"/>
  <c r="AK87" i="1"/>
  <c r="AI87" i="1"/>
  <c r="AG87" i="1"/>
  <c r="AE87" i="1"/>
  <c r="AC87" i="1"/>
  <c r="Y87" i="1"/>
  <c r="W87" i="1"/>
  <c r="U87" i="1"/>
  <c r="S87" i="1"/>
  <c r="Q87" i="1"/>
  <c r="O87" i="1"/>
  <c r="M87" i="1"/>
  <c r="K87" i="1"/>
  <c r="I87" i="1"/>
  <c r="AZ86" i="1"/>
  <c r="AS86" i="1"/>
  <c r="AQ86" i="1"/>
  <c r="AO86" i="1"/>
  <c r="AM86" i="1"/>
  <c r="AK86" i="1"/>
  <c r="AI86" i="1"/>
  <c r="AG86" i="1"/>
  <c r="AE86" i="1"/>
  <c r="AC86" i="1"/>
  <c r="Y86" i="1"/>
  <c r="W86" i="1"/>
  <c r="U86" i="1"/>
  <c r="S86" i="1"/>
  <c r="Q86" i="1"/>
  <c r="O86" i="1"/>
  <c r="M86" i="1"/>
  <c r="K86" i="1"/>
  <c r="I86" i="1"/>
  <c r="AZ85" i="1"/>
  <c r="AS85" i="1"/>
  <c r="AQ85" i="1"/>
  <c r="AO85" i="1"/>
  <c r="AM85" i="1"/>
  <c r="AK85" i="1"/>
  <c r="AI85" i="1"/>
  <c r="AG85" i="1"/>
  <c r="AE85" i="1"/>
  <c r="AC85" i="1"/>
  <c r="Y85" i="1"/>
  <c r="W85" i="1"/>
  <c r="U85" i="1"/>
  <c r="S85" i="1"/>
  <c r="Q85" i="1"/>
  <c r="O85" i="1"/>
  <c r="M85" i="1"/>
  <c r="K85" i="1"/>
  <c r="I85" i="1"/>
  <c r="AZ84" i="1"/>
  <c r="AS84" i="1"/>
  <c r="AQ84" i="1"/>
  <c r="AO84" i="1"/>
  <c r="AM84" i="1"/>
  <c r="AK84" i="1"/>
  <c r="AI84" i="1"/>
  <c r="AG84" i="1"/>
  <c r="AE84" i="1"/>
  <c r="AC84" i="1"/>
  <c r="Y84" i="1"/>
  <c r="W84" i="1"/>
  <c r="U84" i="1"/>
  <c r="S84" i="1"/>
  <c r="Q84" i="1"/>
  <c r="O84" i="1"/>
  <c r="M84" i="1"/>
  <c r="K84" i="1"/>
  <c r="I84" i="1"/>
  <c r="AZ83" i="1"/>
  <c r="AS83" i="1"/>
  <c r="AQ83" i="1"/>
  <c r="AO83" i="1"/>
  <c r="AM83" i="1"/>
  <c r="AK83" i="1"/>
  <c r="AI83" i="1"/>
  <c r="AG83" i="1"/>
  <c r="AE83" i="1"/>
  <c r="AC83" i="1"/>
  <c r="Y83" i="1"/>
  <c r="W83" i="1"/>
  <c r="U83" i="1"/>
  <c r="S83" i="1"/>
  <c r="Q83" i="1"/>
  <c r="O83" i="1"/>
  <c r="M83" i="1"/>
  <c r="K83" i="1"/>
  <c r="I83" i="1"/>
  <c r="AZ82" i="1"/>
  <c r="AS82" i="1"/>
  <c r="AQ82" i="1"/>
  <c r="AO82" i="1"/>
  <c r="AM82" i="1"/>
  <c r="AK82" i="1"/>
  <c r="AI82" i="1"/>
  <c r="AG82" i="1"/>
  <c r="AE82" i="1"/>
  <c r="AC82" i="1"/>
  <c r="Y82" i="1"/>
  <c r="W82" i="1"/>
  <c r="U82" i="1"/>
  <c r="S82" i="1"/>
  <c r="Q82" i="1"/>
  <c r="O82" i="1"/>
  <c r="M82" i="1"/>
  <c r="K82" i="1"/>
  <c r="I82" i="1"/>
  <c r="AZ81" i="1"/>
  <c r="AS81" i="1"/>
  <c r="AQ81" i="1"/>
  <c r="AO81" i="1"/>
  <c r="AM81" i="1"/>
  <c r="AK81" i="1"/>
  <c r="AI81" i="1"/>
  <c r="AG81" i="1"/>
  <c r="AE81" i="1"/>
  <c r="AC81" i="1"/>
  <c r="Y81" i="1"/>
  <c r="W81" i="1"/>
  <c r="U81" i="1"/>
  <c r="S81" i="1"/>
  <c r="Q81" i="1"/>
  <c r="O81" i="1"/>
  <c r="M81" i="1"/>
  <c r="K81" i="1"/>
  <c r="I81" i="1"/>
  <c r="AZ80" i="1"/>
  <c r="AS80" i="1"/>
  <c r="AQ80" i="1"/>
  <c r="AO80" i="1"/>
  <c r="AM80" i="1"/>
  <c r="AK80" i="1"/>
  <c r="AI80" i="1"/>
  <c r="AG80" i="1"/>
  <c r="AE80" i="1"/>
  <c r="AC80" i="1"/>
  <c r="Y80" i="1"/>
  <c r="W80" i="1"/>
  <c r="U80" i="1"/>
  <c r="S80" i="1"/>
  <c r="Q80" i="1"/>
  <c r="O80" i="1"/>
  <c r="M80" i="1"/>
  <c r="K80" i="1"/>
  <c r="I80" i="1"/>
  <c r="AZ79" i="1"/>
  <c r="AS79" i="1"/>
  <c r="AQ79" i="1"/>
  <c r="AO79" i="1"/>
  <c r="AM79" i="1"/>
  <c r="AK79" i="1"/>
  <c r="AI79" i="1"/>
  <c r="AG79" i="1"/>
  <c r="AE79" i="1"/>
  <c r="AC79" i="1"/>
  <c r="Y79" i="1"/>
  <c r="W79" i="1"/>
  <c r="U79" i="1"/>
  <c r="S79" i="1"/>
  <c r="Q79" i="1"/>
  <c r="O79" i="1"/>
  <c r="M79" i="1"/>
  <c r="K79" i="1"/>
  <c r="I79" i="1"/>
  <c r="AZ78" i="1"/>
  <c r="AS78" i="1"/>
  <c r="AQ78" i="1"/>
  <c r="AO78" i="1"/>
  <c r="AM78" i="1"/>
  <c r="AK78" i="1"/>
  <c r="AI78" i="1"/>
  <c r="AG78" i="1"/>
  <c r="AE78" i="1"/>
  <c r="AC78" i="1"/>
  <c r="Y78" i="1"/>
  <c r="W78" i="1"/>
  <c r="U78" i="1"/>
  <c r="S78" i="1"/>
  <c r="Q78" i="1"/>
  <c r="O78" i="1"/>
  <c r="M78" i="1"/>
  <c r="K78" i="1"/>
  <c r="I78" i="1"/>
  <c r="AZ77" i="1"/>
  <c r="AS77" i="1"/>
  <c r="AQ77" i="1"/>
  <c r="AO77" i="1"/>
  <c r="AM77" i="1"/>
  <c r="AK77" i="1"/>
  <c r="AI77" i="1"/>
  <c r="AG77" i="1"/>
  <c r="AE77" i="1"/>
  <c r="AC77" i="1"/>
  <c r="Y77" i="1"/>
  <c r="W77" i="1"/>
  <c r="U77" i="1"/>
  <c r="S77" i="1"/>
  <c r="Q77" i="1"/>
  <c r="O77" i="1"/>
  <c r="M77" i="1"/>
  <c r="K77" i="1"/>
  <c r="I77" i="1"/>
  <c r="AZ76" i="1"/>
  <c r="AS76" i="1"/>
  <c r="AQ76" i="1"/>
  <c r="AO76" i="1"/>
  <c r="AM76" i="1"/>
  <c r="AK76" i="1"/>
  <c r="AI76" i="1"/>
  <c r="AG76" i="1"/>
  <c r="AE76" i="1"/>
  <c r="AC76" i="1"/>
  <c r="Y76" i="1"/>
  <c r="W76" i="1"/>
  <c r="U76" i="1"/>
  <c r="S76" i="1"/>
  <c r="Q76" i="1"/>
  <c r="O76" i="1"/>
  <c r="M76" i="1"/>
  <c r="K76" i="1"/>
  <c r="I76" i="1"/>
  <c r="AZ75" i="1"/>
  <c r="AS75" i="1"/>
  <c r="AQ75" i="1"/>
  <c r="AO75" i="1"/>
  <c r="AM75" i="1"/>
  <c r="AK75" i="1"/>
  <c r="AI75" i="1"/>
  <c r="AG75" i="1"/>
  <c r="AE75" i="1"/>
  <c r="AC75" i="1"/>
  <c r="Y75" i="1"/>
  <c r="W75" i="1"/>
  <c r="U75" i="1"/>
  <c r="S75" i="1"/>
  <c r="Q75" i="1"/>
  <c r="O75" i="1"/>
  <c r="M75" i="1"/>
  <c r="K75" i="1"/>
  <c r="I75" i="1"/>
  <c r="AZ74" i="1"/>
  <c r="AS74" i="1"/>
  <c r="AQ74" i="1"/>
  <c r="AO74" i="1"/>
  <c r="AM74" i="1"/>
  <c r="AK74" i="1"/>
  <c r="AI74" i="1"/>
  <c r="AG74" i="1"/>
  <c r="AE74" i="1"/>
  <c r="AC74" i="1"/>
  <c r="Y74" i="1"/>
  <c r="W74" i="1"/>
  <c r="U74" i="1"/>
  <c r="S74" i="1"/>
  <c r="Q74" i="1"/>
  <c r="O74" i="1"/>
  <c r="M74" i="1"/>
  <c r="K74" i="1"/>
  <c r="I74" i="1"/>
  <c r="AZ73" i="1"/>
  <c r="AS73" i="1"/>
  <c r="AQ73" i="1"/>
  <c r="AO73" i="1"/>
  <c r="AM73" i="1"/>
  <c r="AK73" i="1"/>
  <c r="AI73" i="1"/>
  <c r="AG73" i="1"/>
  <c r="AE73" i="1"/>
  <c r="AC73" i="1"/>
  <c r="Y73" i="1"/>
  <c r="W73" i="1"/>
  <c r="U73" i="1"/>
  <c r="S73" i="1"/>
  <c r="Q73" i="1"/>
  <c r="O73" i="1"/>
  <c r="M73" i="1"/>
  <c r="K73" i="1"/>
  <c r="I73" i="1"/>
  <c r="AZ72" i="1"/>
  <c r="AS72" i="1"/>
  <c r="AQ72" i="1"/>
  <c r="AO72" i="1"/>
  <c r="AM72" i="1"/>
  <c r="AK72" i="1"/>
  <c r="AI72" i="1"/>
  <c r="AG72" i="1"/>
  <c r="AE72" i="1"/>
  <c r="AC72" i="1"/>
  <c r="Y72" i="1"/>
  <c r="W72" i="1"/>
  <c r="U72" i="1"/>
  <c r="S72" i="1"/>
  <c r="Q72" i="1"/>
  <c r="O72" i="1"/>
  <c r="M72" i="1"/>
  <c r="K72" i="1"/>
  <c r="I72" i="1"/>
  <c r="AZ71" i="1"/>
  <c r="AS71" i="1"/>
  <c r="AQ71" i="1"/>
  <c r="AO71" i="1"/>
  <c r="AM71" i="1"/>
  <c r="AK71" i="1"/>
  <c r="AI71" i="1"/>
  <c r="AG71" i="1"/>
  <c r="AE71" i="1"/>
  <c r="AC71" i="1"/>
  <c r="Y71" i="1"/>
  <c r="W71" i="1"/>
  <c r="U71" i="1"/>
  <c r="S71" i="1"/>
  <c r="Q71" i="1"/>
  <c r="O71" i="1"/>
  <c r="M71" i="1"/>
  <c r="K71" i="1"/>
  <c r="I71" i="1"/>
  <c r="AZ70" i="1"/>
  <c r="AS70" i="1"/>
  <c r="AQ70" i="1"/>
  <c r="AO70" i="1"/>
  <c r="AM70" i="1"/>
  <c r="AK70" i="1"/>
  <c r="AI70" i="1"/>
  <c r="AG70" i="1"/>
  <c r="AE70" i="1"/>
  <c r="AC70" i="1"/>
  <c r="Y70" i="1"/>
  <c r="W70" i="1"/>
  <c r="U70" i="1"/>
  <c r="S70" i="1"/>
  <c r="Q70" i="1"/>
  <c r="O70" i="1"/>
  <c r="M70" i="1"/>
  <c r="K70" i="1"/>
  <c r="I70" i="1"/>
  <c r="AZ69" i="1"/>
  <c r="AS69" i="1"/>
  <c r="AQ69" i="1"/>
  <c r="AO69" i="1"/>
  <c r="AM69" i="1"/>
  <c r="AK69" i="1"/>
  <c r="AI69" i="1"/>
  <c r="AG69" i="1"/>
  <c r="AE69" i="1"/>
  <c r="AC69" i="1"/>
  <c r="Y69" i="1"/>
  <c r="W69" i="1"/>
  <c r="U69" i="1"/>
  <c r="S69" i="1"/>
  <c r="Q69" i="1"/>
  <c r="O69" i="1"/>
  <c r="M69" i="1"/>
  <c r="K69" i="1"/>
  <c r="I69" i="1"/>
  <c r="AZ68" i="1"/>
  <c r="AS68" i="1"/>
  <c r="AQ68" i="1"/>
  <c r="AO68" i="1"/>
  <c r="AM68" i="1"/>
  <c r="AK68" i="1"/>
  <c r="AI68" i="1"/>
  <c r="AG68" i="1"/>
  <c r="AE68" i="1"/>
  <c r="AC68" i="1"/>
  <c r="Y68" i="1"/>
  <c r="W68" i="1"/>
  <c r="U68" i="1"/>
  <c r="S68" i="1"/>
  <c r="Q68" i="1"/>
  <c r="O68" i="1"/>
  <c r="M68" i="1"/>
  <c r="K68" i="1"/>
  <c r="I68" i="1"/>
  <c r="AZ67" i="1"/>
  <c r="AS67" i="1"/>
  <c r="AQ67" i="1"/>
  <c r="AO67" i="1"/>
  <c r="AM67" i="1"/>
  <c r="AK67" i="1"/>
  <c r="AI67" i="1"/>
  <c r="AG67" i="1"/>
  <c r="AE67" i="1"/>
  <c r="AC67" i="1"/>
  <c r="Y67" i="1"/>
  <c r="W67" i="1"/>
  <c r="U67" i="1"/>
  <c r="S67" i="1"/>
  <c r="Q67" i="1"/>
  <c r="O67" i="1"/>
  <c r="M67" i="1"/>
  <c r="K67" i="1"/>
  <c r="I67" i="1"/>
  <c r="AZ66" i="1"/>
  <c r="AS66" i="1"/>
  <c r="AQ66" i="1"/>
  <c r="AO66" i="1"/>
  <c r="AM66" i="1"/>
  <c r="AK66" i="1"/>
  <c r="AI66" i="1"/>
  <c r="AG66" i="1"/>
  <c r="AE66" i="1"/>
  <c r="AC66" i="1"/>
  <c r="Y66" i="1"/>
  <c r="W66" i="1"/>
  <c r="U66" i="1"/>
  <c r="S66" i="1"/>
  <c r="Q66" i="1"/>
  <c r="O66" i="1"/>
  <c r="M66" i="1"/>
  <c r="K66" i="1"/>
  <c r="I66" i="1"/>
  <c r="AZ65" i="1"/>
  <c r="AS65" i="1"/>
  <c r="AQ65" i="1"/>
  <c r="AO65" i="1"/>
  <c r="AM65" i="1"/>
  <c r="AK65" i="1"/>
  <c r="AI65" i="1"/>
  <c r="AG65" i="1"/>
  <c r="AE65" i="1"/>
  <c r="AC65" i="1"/>
  <c r="Y65" i="1"/>
  <c r="W65" i="1"/>
  <c r="U65" i="1"/>
  <c r="S65" i="1"/>
  <c r="Q65" i="1"/>
  <c r="O65" i="1"/>
  <c r="M65" i="1"/>
  <c r="K65" i="1"/>
  <c r="I65" i="1"/>
  <c r="AZ64" i="1"/>
  <c r="AS64" i="1"/>
  <c r="AQ64" i="1"/>
  <c r="AO64" i="1"/>
  <c r="AM64" i="1"/>
  <c r="AK64" i="1"/>
  <c r="AI64" i="1"/>
  <c r="AG64" i="1"/>
  <c r="AE64" i="1"/>
  <c r="AC64" i="1"/>
  <c r="Y64" i="1"/>
  <c r="W64" i="1"/>
  <c r="U64" i="1"/>
  <c r="S64" i="1"/>
  <c r="Q64" i="1"/>
  <c r="O64" i="1"/>
  <c r="M64" i="1"/>
  <c r="K64" i="1"/>
  <c r="I64" i="1"/>
  <c r="AZ63" i="1"/>
  <c r="AS63" i="1"/>
  <c r="AQ63" i="1"/>
  <c r="AO63" i="1"/>
  <c r="AM63" i="1"/>
  <c r="AK63" i="1"/>
  <c r="AI63" i="1"/>
  <c r="AG63" i="1"/>
  <c r="AE63" i="1"/>
  <c r="AC63" i="1"/>
  <c r="Y63" i="1"/>
  <c r="W63" i="1"/>
  <c r="U63" i="1"/>
  <c r="S63" i="1"/>
  <c r="Q63" i="1"/>
  <c r="O63" i="1"/>
  <c r="M63" i="1"/>
  <c r="K63" i="1"/>
  <c r="I63" i="1"/>
  <c r="AZ62" i="1"/>
  <c r="AS62" i="1"/>
  <c r="AQ62" i="1"/>
  <c r="AO62" i="1"/>
  <c r="AM62" i="1"/>
  <c r="AK62" i="1"/>
  <c r="AI62" i="1"/>
  <c r="AG62" i="1"/>
  <c r="AE62" i="1"/>
  <c r="AC62" i="1"/>
  <c r="Y62" i="1"/>
  <c r="W62" i="1"/>
  <c r="U62" i="1"/>
  <c r="S62" i="1"/>
  <c r="Q62" i="1"/>
  <c r="O62" i="1"/>
  <c r="M62" i="1"/>
  <c r="K62" i="1"/>
  <c r="I62" i="1"/>
  <c r="AZ61" i="1"/>
  <c r="AS61" i="1"/>
  <c r="AQ61" i="1"/>
  <c r="AO61" i="1"/>
  <c r="AM61" i="1"/>
  <c r="AK61" i="1"/>
  <c r="AI61" i="1"/>
  <c r="AG61" i="1"/>
  <c r="AE61" i="1"/>
  <c r="AC61" i="1"/>
  <c r="Y61" i="1"/>
  <c r="W61" i="1"/>
  <c r="U61" i="1"/>
  <c r="S61" i="1"/>
  <c r="Q61" i="1"/>
  <c r="O61" i="1"/>
  <c r="M61" i="1"/>
  <c r="K61" i="1"/>
  <c r="I61" i="1"/>
  <c r="AZ60" i="1"/>
  <c r="AS60" i="1"/>
  <c r="AQ60" i="1"/>
  <c r="AO60" i="1"/>
  <c r="AM60" i="1"/>
  <c r="AK60" i="1"/>
  <c r="AI60" i="1"/>
  <c r="AG60" i="1"/>
  <c r="AE60" i="1"/>
  <c r="AC60" i="1"/>
  <c r="Y60" i="1"/>
  <c r="W60" i="1"/>
  <c r="U60" i="1"/>
  <c r="S60" i="1"/>
  <c r="Q60" i="1"/>
  <c r="O60" i="1"/>
  <c r="M60" i="1"/>
  <c r="K60" i="1"/>
  <c r="I60" i="1"/>
  <c r="AZ59" i="1"/>
  <c r="AS59" i="1"/>
  <c r="AQ59" i="1"/>
  <c r="AO59" i="1"/>
  <c r="AM59" i="1"/>
  <c r="AK59" i="1"/>
  <c r="AI59" i="1"/>
  <c r="AG59" i="1"/>
  <c r="AE59" i="1"/>
  <c r="AC59" i="1"/>
  <c r="Y59" i="1"/>
  <c r="W59" i="1"/>
  <c r="U59" i="1"/>
  <c r="S59" i="1"/>
  <c r="Q59" i="1"/>
  <c r="O59" i="1"/>
  <c r="M59" i="1"/>
  <c r="K59" i="1"/>
  <c r="I59" i="1"/>
  <c r="AZ58" i="1"/>
  <c r="AS58" i="1"/>
  <c r="AQ58" i="1"/>
  <c r="AO58" i="1"/>
  <c r="AM58" i="1"/>
  <c r="AK58" i="1"/>
  <c r="AI58" i="1"/>
  <c r="AG58" i="1"/>
  <c r="AE58" i="1"/>
  <c r="AC58" i="1"/>
  <c r="Y58" i="1"/>
  <c r="W58" i="1"/>
  <c r="U58" i="1"/>
  <c r="S58" i="1"/>
  <c r="Q58" i="1"/>
  <c r="O58" i="1"/>
  <c r="M58" i="1"/>
  <c r="K58" i="1"/>
  <c r="I58" i="1"/>
  <c r="AZ57" i="1"/>
  <c r="AS57" i="1"/>
  <c r="AQ57" i="1"/>
  <c r="AO57" i="1"/>
  <c r="AM57" i="1"/>
  <c r="AK57" i="1"/>
  <c r="AI57" i="1"/>
  <c r="AG57" i="1"/>
  <c r="AE57" i="1"/>
  <c r="AC57" i="1"/>
  <c r="Y57" i="1"/>
  <c r="W57" i="1"/>
  <c r="U57" i="1"/>
  <c r="S57" i="1"/>
  <c r="Q57" i="1"/>
  <c r="O57" i="1"/>
  <c r="M57" i="1"/>
  <c r="K57" i="1"/>
  <c r="I57" i="1"/>
  <c r="AZ56" i="1"/>
  <c r="AS56" i="1"/>
  <c r="AQ56" i="1"/>
  <c r="AO56" i="1"/>
  <c r="AM56" i="1"/>
  <c r="AK56" i="1"/>
  <c r="AI56" i="1"/>
  <c r="AG56" i="1"/>
  <c r="AE56" i="1"/>
  <c r="AC56" i="1"/>
  <c r="Y56" i="1"/>
  <c r="W56" i="1"/>
  <c r="U56" i="1"/>
  <c r="S56" i="1"/>
  <c r="Q56" i="1"/>
  <c r="O56" i="1"/>
  <c r="M56" i="1"/>
  <c r="K56" i="1"/>
  <c r="I56" i="1"/>
  <c r="AZ55" i="1"/>
  <c r="AS55" i="1"/>
  <c r="AQ55" i="1"/>
  <c r="AO55" i="1"/>
  <c r="AM55" i="1"/>
  <c r="AK55" i="1"/>
  <c r="AI55" i="1"/>
  <c r="AG55" i="1"/>
  <c r="AE55" i="1"/>
  <c r="AC55" i="1"/>
  <c r="Y55" i="1"/>
  <c r="W55" i="1"/>
  <c r="U55" i="1"/>
  <c r="S55" i="1"/>
  <c r="Q55" i="1"/>
  <c r="O55" i="1"/>
  <c r="M55" i="1"/>
  <c r="K55" i="1"/>
  <c r="I55" i="1"/>
  <c r="AZ54" i="1"/>
  <c r="AS54" i="1"/>
  <c r="AQ54" i="1"/>
  <c r="AO54" i="1"/>
  <c r="AM54" i="1"/>
  <c r="AK54" i="1"/>
  <c r="AI54" i="1"/>
  <c r="AG54" i="1"/>
  <c r="AE54" i="1"/>
  <c r="AC54" i="1"/>
  <c r="Y54" i="1"/>
  <c r="W54" i="1"/>
  <c r="U54" i="1"/>
  <c r="S54" i="1"/>
  <c r="Q54" i="1"/>
  <c r="O54" i="1"/>
  <c r="M54" i="1"/>
  <c r="K54" i="1"/>
  <c r="I54" i="1"/>
  <c r="AZ53" i="1"/>
  <c r="AS53" i="1"/>
  <c r="AQ53" i="1"/>
  <c r="AO53" i="1"/>
  <c r="AM53" i="1"/>
  <c r="AK53" i="1"/>
  <c r="AI53" i="1"/>
  <c r="AG53" i="1"/>
  <c r="AE53" i="1"/>
  <c r="AC53" i="1"/>
  <c r="Y53" i="1"/>
  <c r="W53" i="1"/>
  <c r="U53" i="1"/>
  <c r="S53" i="1"/>
  <c r="Q53" i="1"/>
  <c r="O53" i="1"/>
  <c r="M53" i="1"/>
  <c r="K53" i="1"/>
  <c r="I53" i="1"/>
  <c r="AZ52" i="1"/>
  <c r="AS52" i="1"/>
  <c r="AQ52" i="1"/>
  <c r="AO52" i="1"/>
  <c r="AM52" i="1"/>
  <c r="AK52" i="1"/>
  <c r="AI52" i="1"/>
  <c r="AG52" i="1"/>
  <c r="AE52" i="1"/>
  <c r="AC52" i="1"/>
  <c r="Y52" i="1"/>
  <c r="W52" i="1"/>
  <c r="U52" i="1"/>
  <c r="S52" i="1"/>
  <c r="Q52" i="1"/>
  <c r="O52" i="1"/>
  <c r="M52" i="1"/>
  <c r="K52" i="1"/>
  <c r="I52" i="1"/>
  <c r="AZ51" i="1"/>
  <c r="AS51" i="1"/>
  <c r="AQ51" i="1"/>
  <c r="AO51" i="1"/>
  <c r="AM51" i="1"/>
  <c r="AK51" i="1"/>
  <c r="AI51" i="1"/>
  <c r="AG51" i="1"/>
  <c r="AE51" i="1"/>
  <c r="AC51" i="1"/>
  <c r="Y51" i="1"/>
  <c r="W51" i="1"/>
  <c r="U51" i="1"/>
  <c r="S51" i="1"/>
  <c r="Q51" i="1"/>
  <c r="O51" i="1"/>
  <c r="M51" i="1"/>
  <c r="K51" i="1"/>
  <c r="I51" i="1"/>
  <c r="AZ50" i="1"/>
  <c r="AS50" i="1"/>
  <c r="AQ50" i="1"/>
  <c r="AO50" i="1"/>
  <c r="AM50" i="1"/>
  <c r="AK50" i="1"/>
  <c r="AI50" i="1"/>
  <c r="AG50" i="1"/>
  <c r="AE50" i="1"/>
  <c r="AC50" i="1"/>
  <c r="Y50" i="1"/>
  <c r="W50" i="1"/>
  <c r="U50" i="1"/>
  <c r="S50" i="1"/>
  <c r="Q50" i="1"/>
  <c r="O50" i="1"/>
  <c r="M50" i="1"/>
  <c r="K50" i="1"/>
  <c r="I50" i="1"/>
  <c r="AZ49" i="1"/>
  <c r="AS49" i="1"/>
  <c r="AQ49" i="1"/>
  <c r="AO49" i="1"/>
  <c r="AM49" i="1"/>
  <c r="AK49" i="1"/>
  <c r="AI49" i="1"/>
  <c r="AG49" i="1"/>
  <c r="AE49" i="1"/>
  <c r="AC49" i="1"/>
  <c r="Y49" i="1"/>
  <c r="W49" i="1"/>
  <c r="U49" i="1"/>
  <c r="S49" i="1"/>
  <c r="Q49" i="1"/>
  <c r="O49" i="1"/>
  <c r="M49" i="1"/>
  <c r="K49" i="1"/>
  <c r="I49" i="1"/>
  <c r="AZ48" i="1"/>
  <c r="AS48" i="1"/>
  <c r="AQ48" i="1"/>
  <c r="AO48" i="1"/>
  <c r="AM48" i="1"/>
  <c r="AK48" i="1"/>
  <c r="AI48" i="1"/>
  <c r="AG48" i="1"/>
  <c r="AE48" i="1"/>
  <c r="AC48" i="1"/>
  <c r="Y48" i="1"/>
  <c r="W48" i="1"/>
  <c r="U48" i="1"/>
  <c r="S48" i="1"/>
  <c r="Q48" i="1"/>
  <c r="O48" i="1"/>
  <c r="M48" i="1"/>
  <c r="K48" i="1"/>
  <c r="I48" i="1"/>
  <c r="AZ47" i="1"/>
  <c r="AS47" i="1"/>
  <c r="AQ47" i="1"/>
  <c r="AO47" i="1"/>
  <c r="AM47" i="1"/>
  <c r="AK47" i="1"/>
  <c r="AI47" i="1"/>
  <c r="AG47" i="1"/>
  <c r="AE47" i="1"/>
  <c r="AC47" i="1"/>
  <c r="Y47" i="1"/>
  <c r="W47" i="1"/>
  <c r="U47" i="1"/>
  <c r="S47" i="1"/>
  <c r="Q47" i="1"/>
  <c r="O47" i="1"/>
  <c r="M47" i="1"/>
  <c r="K47" i="1"/>
  <c r="I47" i="1"/>
  <c r="AZ46" i="1"/>
  <c r="AS46" i="1"/>
  <c r="AQ46" i="1"/>
  <c r="AO46" i="1"/>
  <c r="AM46" i="1"/>
  <c r="AK46" i="1"/>
  <c r="AI46" i="1"/>
  <c r="AG46" i="1"/>
  <c r="AE46" i="1"/>
  <c r="AC46" i="1"/>
  <c r="Y46" i="1"/>
  <c r="W46" i="1"/>
  <c r="U46" i="1"/>
  <c r="S46" i="1"/>
  <c r="Q46" i="1"/>
  <c r="O46" i="1"/>
  <c r="M46" i="1"/>
  <c r="K46" i="1"/>
  <c r="I46" i="1"/>
  <c r="AZ45" i="1"/>
  <c r="AS45" i="1"/>
  <c r="AQ45" i="1"/>
  <c r="AO45" i="1"/>
  <c r="AM45" i="1"/>
  <c r="AK45" i="1"/>
  <c r="AI45" i="1"/>
  <c r="AG45" i="1"/>
  <c r="AE45" i="1"/>
  <c r="AC45" i="1"/>
  <c r="Y45" i="1"/>
  <c r="W45" i="1"/>
  <c r="U45" i="1"/>
  <c r="S45" i="1"/>
  <c r="Q45" i="1"/>
  <c r="O45" i="1"/>
  <c r="M45" i="1"/>
  <c r="K45" i="1"/>
  <c r="I45" i="1"/>
  <c r="AZ44" i="1"/>
  <c r="AS44" i="1"/>
  <c r="AQ44" i="1"/>
  <c r="AO44" i="1"/>
  <c r="AM44" i="1"/>
  <c r="AK44" i="1"/>
  <c r="AI44" i="1"/>
  <c r="AG44" i="1"/>
  <c r="AE44" i="1"/>
  <c r="AC44" i="1"/>
  <c r="Y44" i="1"/>
  <c r="W44" i="1"/>
  <c r="U44" i="1"/>
  <c r="S44" i="1"/>
  <c r="Q44" i="1"/>
  <c r="O44" i="1"/>
  <c r="M44" i="1"/>
  <c r="K44" i="1"/>
  <c r="I44" i="1"/>
  <c r="AZ43" i="1"/>
  <c r="AS43" i="1"/>
  <c r="AQ43" i="1"/>
  <c r="AO43" i="1"/>
  <c r="AM43" i="1"/>
  <c r="AK43" i="1"/>
  <c r="AI43" i="1"/>
  <c r="AG43" i="1"/>
  <c r="AE43" i="1"/>
  <c r="AC43" i="1"/>
  <c r="Y43" i="1"/>
  <c r="W43" i="1"/>
  <c r="U43" i="1"/>
  <c r="S43" i="1"/>
  <c r="Q43" i="1"/>
  <c r="O43" i="1"/>
  <c r="M43" i="1"/>
  <c r="K43" i="1"/>
  <c r="I43" i="1"/>
  <c r="AZ42" i="1"/>
  <c r="AS42" i="1"/>
  <c r="AQ42" i="1"/>
  <c r="AO42" i="1"/>
  <c r="AM42" i="1"/>
  <c r="AK42" i="1"/>
  <c r="AI42" i="1"/>
  <c r="AG42" i="1"/>
  <c r="AE42" i="1"/>
  <c r="AC42" i="1"/>
  <c r="Y42" i="1"/>
  <c r="W42" i="1"/>
  <c r="U42" i="1"/>
  <c r="S42" i="1"/>
  <c r="Q42" i="1"/>
  <c r="O42" i="1"/>
  <c r="M42" i="1"/>
  <c r="K42" i="1"/>
  <c r="I42" i="1"/>
  <c r="AZ41" i="1"/>
  <c r="AS41" i="1"/>
  <c r="AQ41" i="1"/>
  <c r="AO41" i="1"/>
  <c r="AM41" i="1"/>
  <c r="AK41" i="1"/>
  <c r="AI41" i="1"/>
  <c r="AG41" i="1"/>
  <c r="AE41" i="1"/>
  <c r="AC41" i="1"/>
  <c r="Y41" i="1"/>
  <c r="W41" i="1"/>
  <c r="U41" i="1"/>
  <c r="S41" i="1"/>
  <c r="Q41" i="1"/>
  <c r="O41" i="1"/>
  <c r="M41" i="1"/>
  <c r="K41" i="1"/>
  <c r="I41" i="1"/>
  <c r="AZ40" i="1"/>
  <c r="AS40" i="1"/>
  <c r="AQ40" i="1"/>
  <c r="AO40" i="1"/>
  <c r="AM40" i="1"/>
  <c r="AK40" i="1"/>
  <c r="AI40" i="1"/>
  <c r="AG40" i="1"/>
  <c r="AE40" i="1"/>
  <c r="AC40" i="1"/>
  <c r="Y40" i="1"/>
  <c r="W40" i="1"/>
  <c r="U40" i="1"/>
  <c r="S40" i="1"/>
  <c r="Q40" i="1"/>
  <c r="O40" i="1"/>
  <c r="M40" i="1"/>
  <c r="K40" i="1"/>
  <c r="I40" i="1"/>
  <c r="AZ39" i="1"/>
  <c r="AS39" i="1"/>
  <c r="AQ39" i="1"/>
  <c r="AO39" i="1"/>
  <c r="AM39" i="1"/>
  <c r="AK39" i="1"/>
  <c r="AI39" i="1"/>
  <c r="AG39" i="1"/>
  <c r="AE39" i="1"/>
  <c r="AC39" i="1"/>
  <c r="Y39" i="1"/>
  <c r="W39" i="1"/>
  <c r="U39" i="1"/>
  <c r="S39" i="1"/>
  <c r="Q39" i="1"/>
  <c r="O39" i="1"/>
  <c r="M39" i="1"/>
  <c r="K39" i="1"/>
  <c r="I39" i="1"/>
  <c r="AZ38" i="1"/>
  <c r="AS38" i="1"/>
  <c r="AQ38" i="1"/>
  <c r="AO38" i="1"/>
  <c r="AM38" i="1"/>
  <c r="AK38" i="1"/>
  <c r="AI38" i="1"/>
  <c r="AG38" i="1"/>
  <c r="AE38" i="1"/>
  <c r="AC38" i="1"/>
  <c r="Y38" i="1"/>
  <c r="W38" i="1"/>
  <c r="U38" i="1"/>
  <c r="S38" i="1"/>
  <c r="Q38" i="1"/>
  <c r="O38" i="1"/>
  <c r="M38" i="1"/>
  <c r="K38" i="1"/>
  <c r="I38" i="1"/>
  <c r="AZ37" i="1"/>
  <c r="AS37" i="1"/>
  <c r="AQ37" i="1"/>
  <c r="AO37" i="1"/>
  <c r="AM37" i="1"/>
  <c r="AK37" i="1"/>
  <c r="AI37" i="1"/>
  <c r="AG37" i="1"/>
  <c r="AE37" i="1"/>
  <c r="AC37" i="1"/>
  <c r="Y37" i="1"/>
  <c r="W37" i="1"/>
  <c r="U37" i="1"/>
  <c r="S37" i="1"/>
  <c r="Q37" i="1"/>
  <c r="O37" i="1"/>
  <c r="M37" i="1"/>
  <c r="K37" i="1"/>
  <c r="I37" i="1"/>
  <c r="AZ36" i="1"/>
  <c r="AS36" i="1"/>
  <c r="AQ36" i="1"/>
  <c r="AO36" i="1"/>
  <c r="AM36" i="1"/>
  <c r="AK36" i="1"/>
  <c r="AI36" i="1"/>
  <c r="AG36" i="1"/>
  <c r="AE36" i="1"/>
  <c r="AC36" i="1"/>
  <c r="Y36" i="1"/>
  <c r="W36" i="1"/>
  <c r="U36" i="1"/>
  <c r="S36" i="1"/>
  <c r="Q36" i="1"/>
  <c r="O36" i="1"/>
  <c r="M36" i="1"/>
  <c r="K36" i="1"/>
  <c r="I36" i="1"/>
  <c r="AZ35" i="1"/>
  <c r="AS35" i="1"/>
  <c r="AQ35" i="1"/>
  <c r="AO35" i="1"/>
  <c r="AM35" i="1"/>
  <c r="AK35" i="1"/>
  <c r="AI35" i="1"/>
  <c r="AG35" i="1"/>
  <c r="AE35" i="1"/>
  <c r="AC35" i="1"/>
  <c r="Y35" i="1"/>
  <c r="W35" i="1"/>
  <c r="U35" i="1"/>
  <c r="S35" i="1"/>
  <c r="Q35" i="1"/>
  <c r="O35" i="1"/>
  <c r="M35" i="1"/>
  <c r="K35" i="1"/>
  <c r="I35" i="1"/>
  <c r="AZ34" i="1"/>
  <c r="AS34" i="1"/>
  <c r="AQ34" i="1"/>
  <c r="AO34" i="1"/>
  <c r="AM34" i="1"/>
  <c r="AK34" i="1"/>
  <c r="AI34" i="1"/>
  <c r="AG34" i="1"/>
  <c r="AE34" i="1"/>
  <c r="AC34" i="1"/>
  <c r="Y34" i="1"/>
  <c r="W34" i="1"/>
  <c r="U34" i="1"/>
  <c r="S34" i="1"/>
  <c r="Q34" i="1"/>
  <c r="O34" i="1"/>
  <c r="M34" i="1"/>
  <c r="K34" i="1"/>
  <c r="I34" i="1"/>
  <c r="AZ33" i="1"/>
  <c r="AS33" i="1"/>
  <c r="AQ33" i="1"/>
  <c r="AO33" i="1"/>
  <c r="AM33" i="1"/>
  <c r="AK33" i="1"/>
  <c r="AI33" i="1"/>
  <c r="AG33" i="1"/>
  <c r="AE33" i="1"/>
  <c r="AC33" i="1"/>
  <c r="Y33" i="1"/>
  <c r="W33" i="1"/>
  <c r="U33" i="1"/>
  <c r="S33" i="1"/>
  <c r="Q33" i="1"/>
  <c r="O33" i="1"/>
  <c r="M33" i="1"/>
  <c r="K33" i="1"/>
  <c r="I33" i="1"/>
  <c r="AZ32" i="1"/>
  <c r="AS32" i="1"/>
  <c r="AQ32" i="1"/>
  <c r="AO32" i="1"/>
  <c r="AM32" i="1"/>
  <c r="AK32" i="1"/>
  <c r="AI32" i="1"/>
  <c r="AG32" i="1"/>
  <c r="AE32" i="1"/>
  <c r="AC32" i="1"/>
  <c r="Y32" i="1"/>
  <c r="W32" i="1"/>
  <c r="U32" i="1"/>
  <c r="S32" i="1"/>
  <c r="Q32" i="1"/>
  <c r="O32" i="1"/>
  <c r="M32" i="1"/>
  <c r="K32" i="1"/>
  <c r="I32" i="1"/>
  <c r="AZ31" i="1"/>
  <c r="AS31" i="1"/>
  <c r="AQ31" i="1"/>
  <c r="AO31" i="1"/>
  <c r="AM31" i="1"/>
  <c r="AK31" i="1"/>
  <c r="AI31" i="1"/>
  <c r="AG31" i="1"/>
  <c r="AE31" i="1"/>
  <c r="AC31" i="1"/>
  <c r="Y31" i="1"/>
  <c r="W31" i="1"/>
  <c r="U31" i="1"/>
  <c r="S31" i="1"/>
  <c r="Q31" i="1"/>
  <c r="O31" i="1"/>
  <c r="M31" i="1"/>
  <c r="K31" i="1"/>
  <c r="I31" i="1"/>
  <c r="AZ30" i="1"/>
  <c r="AS30" i="1"/>
  <c r="AQ30" i="1"/>
  <c r="AO30" i="1"/>
  <c r="AM30" i="1"/>
  <c r="AK30" i="1"/>
  <c r="AI30" i="1"/>
  <c r="AG30" i="1"/>
  <c r="AE30" i="1"/>
  <c r="AC30" i="1"/>
  <c r="Y30" i="1"/>
  <c r="W30" i="1"/>
  <c r="U30" i="1"/>
  <c r="S30" i="1"/>
  <c r="Q30" i="1"/>
  <c r="O30" i="1"/>
  <c r="M30" i="1"/>
  <c r="K30" i="1"/>
  <c r="I30" i="1"/>
  <c r="AZ29" i="1"/>
  <c r="AS29" i="1"/>
  <c r="AQ29" i="1"/>
  <c r="AO29" i="1"/>
  <c r="AM29" i="1"/>
  <c r="AK29" i="1"/>
  <c r="AI29" i="1"/>
  <c r="AG29" i="1"/>
  <c r="AE29" i="1"/>
  <c r="AC29" i="1"/>
  <c r="Y29" i="1"/>
  <c r="W29" i="1"/>
  <c r="U29" i="1"/>
  <c r="S29" i="1"/>
  <c r="Q29" i="1"/>
  <c r="O29" i="1"/>
  <c r="M29" i="1"/>
  <c r="K29" i="1"/>
  <c r="I29" i="1"/>
  <c r="AZ28" i="1"/>
  <c r="AS28" i="1"/>
  <c r="AQ28" i="1"/>
  <c r="AO28" i="1"/>
  <c r="AM28" i="1"/>
  <c r="AK28" i="1"/>
  <c r="AI28" i="1"/>
  <c r="AG28" i="1"/>
  <c r="AE28" i="1"/>
  <c r="AC28" i="1"/>
  <c r="Y28" i="1"/>
  <c r="W28" i="1"/>
  <c r="U28" i="1"/>
  <c r="S28" i="1"/>
  <c r="Q28" i="1"/>
  <c r="O28" i="1"/>
  <c r="M28" i="1"/>
  <c r="K28" i="1"/>
  <c r="I28" i="1"/>
  <c r="AZ27" i="1"/>
  <c r="AS27" i="1"/>
  <c r="AQ27" i="1"/>
  <c r="AO27" i="1"/>
  <c r="AM27" i="1"/>
  <c r="AK27" i="1"/>
  <c r="AI27" i="1"/>
  <c r="AG27" i="1"/>
  <c r="AE27" i="1"/>
  <c r="AC27" i="1"/>
  <c r="Y27" i="1"/>
  <c r="W27" i="1"/>
  <c r="U27" i="1"/>
  <c r="S27" i="1"/>
  <c r="Q27" i="1"/>
  <c r="O27" i="1"/>
  <c r="M27" i="1"/>
  <c r="K27" i="1"/>
  <c r="I27" i="1"/>
  <c r="AZ26" i="1"/>
  <c r="AS26" i="1"/>
  <c r="AQ26" i="1"/>
  <c r="AO26" i="1"/>
  <c r="AM26" i="1"/>
  <c r="AK26" i="1"/>
  <c r="AI26" i="1"/>
  <c r="AG26" i="1"/>
  <c r="AE26" i="1"/>
  <c r="AC26" i="1"/>
  <c r="Y26" i="1"/>
  <c r="W26" i="1"/>
  <c r="U26" i="1"/>
  <c r="S26" i="1"/>
  <c r="Q26" i="1"/>
  <c r="O26" i="1"/>
  <c r="M26" i="1"/>
  <c r="K26" i="1"/>
  <c r="I26" i="1"/>
  <c r="AZ25" i="1"/>
  <c r="AS25" i="1"/>
  <c r="AQ25" i="1"/>
  <c r="AO25" i="1"/>
  <c r="AM25" i="1"/>
  <c r="AK25" i="1"/>
  <c r="AI25" i="1"/>
  <c r="AG25" i="1"/>
  <c r="AE25" i="1"/>
  <c r="AC25" i="1"/>
  <c r="Y25" i="1"/>
  <c r="W25" i="1"/>
  <c r="U25" i="1"/>
  <c r="S25" i="1"/>
  <c r="Q25" i="1"/>
  <c r="O25" i="1"/>
  <c r="M25" i="1"/>
  <c r="K25" i="1"/>
  <c r="I25" i="1"/>
  <c r="AZ24" i="1"/>
  <c r="AS24" i="1"/>
  <c r="AQ24" i="1"/>
  <c r="AO24" i="1"/>
  <c r="AM24" i="1"/>
  <c r="AK24" i="1"/>
  <c r="AI24" i="1"/>
  <c r="AG24" i="1"/>
  <c r="AE24" i="1"/>
  <c r="AC24" i="1"/>
  <c r="Y24" i="1"/>
  <c r="W24" i="1"/>
  <c r="U24" i="1"/>
  <c r="S24" i="1"/>
  <c r="Q24" i="1"/>
  <c r="O24" i="1"/>
  <c r="M24" i="1"/>
  <c r="K24" i="1"/>
  <c r="I24" i="1"/>
  <c r="AZ23" i="1"/>
  <c r="AS23" i="1"/>
  <c r="AQ23" i="1"/>
  <c r="AO23" i="1"/>
  <c r="AM23" i="1"/>
  <c r="AK23" i="1"/>
  <c r="AI23" i="1"/>
  <c r="AG23" i="1"/>
  <c r="AE23" i="1"/>
  <c r="AC23" i="1"/>
  <c r="Y23" i="1"/>
  <c r="W23" i="1"/>
  <c r="U23" i="1"/>
  <c r="S23" i="1"/>
  <c r="Q23" i="1"/>
  <c r="O23" i="1"/>
  <c r="M23" i="1"/>
  <c r="K23" i="1"/>
  <c r="I23" i="1"/>
  <c r="AZ22" i="1"/>
  <c r="AS22" i="1"/>
  <c r="AQ22" i="1"/>
  <c r="AO22" i="1"/>
  <c r="AM22" i="1"/>
  <c r="AK22" i="1"/>
  <c r="AI22" i="1"/>
  <c r="AG22" i="1"/>
  <c r="AE22" i="1"/>
  <c r="AC22" i="1"/>
  <c r="Y22" i="1"/>
  <c r="W22" i="1"/>
  <c r="U22" i="1"/>
  <c r="S22" i="1"/>
  <c r="Q22" i="1"/>
  <c r="O22" i="1"/>
  <c r="M22" i="1"/>
  <c r="K22" i="1"/>
  <c r="I22" i="1"/>
  <c r="AZ21" i="1"/>
  <c r="AS21" i="1"/>
  <c r="AQ21" i="1"/>
  <c r="AO21" i="1"/>
  <c r="AM21" i="1"/>
  <c r="AK21" i="1"/>
  <c r="AI21" i="1"/>
  <c r="AG21" i="1"/>
  <c r="AE21" i="1"/>
  <c r="AC21" i="1"/>
  <c r="Y21" i="1"/>
  <c r="W21" i="1"/>
  <c r="U21" i="1"/>
  <c r="S21" i="1"/>
  <c r="Q21" i="1"/>
  <c r="O21" i="1"/>
  <c r="M21" i="1"/>
  <c r="K21" i="1"/>
  <c r="I21" i="1"/>
  <c r="AZ20" i="1"/>
  <c r="AS20" i="1"/>
  <c r="AQ20" i="1"/>
  <c r="AO20" i="1"/>
  <c r="AM20" i="1"/>
  <c r="AK20" i="1"/>
  <c r="AI20" i="1"/>
  <c r="AG20" i="1"/>
  <c r="AE20" i="1"/>
  <c r="AC20" i="1"/>
  <c r="Y20" i="1"/>
  <c r="W20" i="1"/>
  <c r="U20" i="1"/>
  <c r="S20" i="1"/>
  <c r="Q20" i="1"/>
  <c r="O20" i="1"/>
  <c r="M20" i="1"/>
  <c r="K20" i="1"/>
  <c r="I20" i="1"/>
  <c r="AZ19" i="1"/>
  <c r="AS19" i="1"/>
  <c r="AQ19" i="1"/>
  <c r="AO19" i="1"/>
  <c r="AM19" i="1"/>
  <c r="AK19" i="1"/>
  <c r="AI19" i="1"/>
  <c r="AG19" i="1"/>
  <c r="AE19" i="1"/>
  <c r="AC19" i="1"/>
  <c r="Y19" i="1"/>
  <c r="W19" i="1"/>
  <c r="U19" i="1"/>
  <c r="S19" i="1"/>
  <c r="Q19" i="1"/>
  <c r="O19" i="1"/>
  <c r="M19" i="1"/>
  <c r="K19" i="1"/>
  <c r="I19" i="1"/>
  <c r="AZ18" i="1"/>
  <c r="AS18" i="1"/>
  <c r="AQ18" i="1"/>
  <c r="AO18" i="1"/>
  <c r="AM18" i="1"/>
  <c r="AK18" i="1"/>
  <c r="AI18" i="1"/>
  <c r="AG18" i="1"/>
  <c r="AE18" i="1"/>
  <c r="AC18" i="1"/>
  <c r="Y18" i="1"/>
  <c r="W18" i="1"/>
  <c r="U18" i="1"/>
  <c r="S18" i="1"/>
  <c r="Q18" i="1"/>
  <c r="O18" i="1"/>
  <c r="M18" i="1"/>
  <c r="K18" i="1"/>
  <c r="I18" i="1"/>
  <c r="AZ17" i="1"/>
  <c r="AS17" i="1"/>
  <c r="AQ17" i="1"/>
  <c r="AO17" i="1"/>
  <c r="AM17" i="1"/>
  <c r="AK17" i="1"/>
  <c r="AI17" i="1"/>
  <c r="AG17" i="1"/>
  <c r="AE17" i="1"/>
  <c r="AC17" i="1"/>
  <c r="Y17" i="1"/>
  <c r="W17" i="1"/>
  <c r="U17" i="1"/>
  <c r="S17" i="1"/>
  <c r="Q17" i="1"/>
  <c r="O17" i="1"/>
  <c r="M17" i="1"/>
  <c r="K17" i="1"/>
  <c r="I17" i="1"/>
  <c r="AZ16" i="1"/>
  <c r="AS16" i="1"/>
  <c r="AQ16" i="1"/>
  <c r="AO16" i="1"/>
  <c r="AM16" i="1"/>
  <c r="AK16" i="1"/>
  <c r="AI16" i="1"/>
  <c r="AG16" i="1"/>
  <c r="AE16" i="1"/>
  <c r="AC16" i="1"/>
  <c r="Y16" i="1"/>
  <c r="W16" i="1"/>
  <c r="U16" i="1"/>
  <c r="S16" i="1"/>
  <c r="Q16" i="1"/>
  <c r="O16" i="1"/>
  <c r="M16" i="1"/>
  <c r="K16" i="1"/>
  <c r="I16" i="1"/>
  <c r="AZ15" i="1"/>
  <c r="AS15" i="1"/>
  <c r="AQ15" i="1"/>
  <c r="AO15" i="1"/>
  <c r="AM15" i="1"/>
  <c r="AK15" i="1"/>
  <c r="AI15" i="1"/>
  <c r="AG15" i="1"/>
  <c r="AE15" i="1"/>
  <c r="AC15" i="1"/>
  <c r="Y15" i="1"/>
  <c r="W15" i="1"/>
  <c r="U15" i="1"/>
  <c r="S15" i="1"/>
  <c r="Q15" i="1"/>
  <c r="O15" i="1"/>
  <c r="M15" i="1"/>
  <c r="K15" i="1"/>
  <c r="I15" i="1"/>
  <c r="AZ14" i="1"/>
  <c r="AS14" i="1"/>
  <c r="AQ14" i="1"/>
  <c r="AO14" i="1"/>
  <c r="AM14" i="1"/>
  <c r="AK14" i="1"/>
  <c r="AI14" i="1"/>
  <c r="AG14" i="1"/>
  <c r="AE14" i="1"/>
  <c r="AC14" i="1"/>
  <c r="Y14" i="1"/>
  <c r="W14" i="1"/>
  <c r="U14" i="1"/>
  <c r="S14" i="1"/>
  <c r="Q14" i="1"/>
  <c r="O14" i="1"/>
  <c r="M14" i="1"/>
  <c r="K14" i="1"/>
  <c r="I14" i="1"/>
  <c r="AZ13" i="1"/>
  <c r="AS13" i="1"/>
  <c r="AQ13" i="1"/>
  <c r="AO13" i="1"/>
  <c r="AM13" i="1"/>
  <c r="AK13" i="1"/>
  <c r="AI13" i="1"/>
  <c r="AG13" i="1"/>
  <c r="AE13" i="1"/>
  <c r="AC13" i="1"/>
  <c r="Y13" i="1"/>
  <c r="W13" i="1"/>
  <c r="U13" i="1"/>
  <c r="S13" i="1"/>
  <c r="Q13" i="1"/>
  <c r="O13" i="1"/>
  <c r="M13" i="1"/>
  <c r="K13" i="1"/>
  <c r="I13" i="1"/>
  <c r="AZ12" i="1"/>
  <c r="AS12" i="1"/>
  <c r="AQ12" i="1"/>
  <c r="AO12" i="1"/>
  <c r="AM12" i="1"/>
  <c r="AK12" i="1"/>
  <c r="AI12" i="1"/>
  <c r="AG12" i="1"/>
  <c r="AE12" i="1"/>
  <c r="AC12" i="1"/>
  <c r="Y12" i="1"/>
  <c r="W12" i="1"/>
  <c r="U12" i="1"/>
  <c r="S12" i="1"/>
  <c r="Q12" i="1"/>
  <c r="O12" i="1"/>
  <c r="M12" i="1"/>
  <c r="K12" i="1"/>
  <c r="I12" i="1"/>
  <c r="AZ11" i="1"/>
  <c r="AS11" i="1"/>
  <c r="AQ11" i="1"/>
  <c r="AO11" i="1"/>
  <c r="AM11" i="1"/>
  <c r="AK11" i="1"/>
  <c r="AI11" i="1"/>
  <c r="AG11" i="1"/>
  <c r="AE11" i="1"/>
  <c r="AC11" i="1"/>
  <c r="Y11" i="1"/>
  <c r="W11" i="1"/>
  <c r="U11" i="1"/>
  <c r="S11" i="1"/>
  <c r="Q11" i="1"/>
  <c r="O11" i="1"/>
  <c r="M11" i="1"/>
  <c r="K11" i="1"/>
  <c r="I11" i="1"/>
  <c r="AZ10" i="1"/>
  <c r="AS10" i="1"/>
  <c r="AQ10" i="1"/>
  <c r="AO10" i="1"/>
  <c r="AM10" i="1"/>
  <c r="AK10" i="1"/>
  <c r="AI10" i="1"/>
  <c r="AG10" i="1"/>
  <c r="AE10" i="1"/>
  <c r="AC10" i="1"/>
  <c r="Y10" i="1"/>
  <c r="W10" i="1"/>
  <c r="U10" i="1"/>
  <c r="S10" i="1"/>
  <c r="Q10" i="1"/>
  <c r="O10" i="1"/>
  <c r="M10" i="1"/>
  <c r="K10" i="1"/>
  <c r="I10" i="1"/>
  <c r="AZ9" i="1"/>
  <c r="AS9" i="1"/>
  <c r="AQ9" i="1"/>
  <c r="AO9" i="1"/>
  <c r="AM9" i="1"/>
  <c r="AK9" i="1"/>
  <c r="AI9" i="1"/>
  <c r="AG9" i="1"/>
  <c r="AE9" i="1"/>
  <c r="AC9" i="1"/>
  <c r="Y9" i="1"/>
  <c r="W9" i="1"/>
  <c r="U9" i="1"/>
  <c r="S9" i="1"/>
  <c r="Q9" i="1"/>
  <c r="O9" i="1"/>
  <c r="M9" i="1"/>
  <c r="K9" i="1"/>
  <c r="I9" i="1"/>
  <c r="AZ8" i="1"/>
  <c r="AS8" i="1"/>
  <c r="AQ8" i="1"/>
  <c r="AO8" i="1"/>
  <c r="AM8" i="1"/>
  <c r="AK8" i="1"/>
  <c r="AI8" i="1"/>
  <c r="AG8" i="1"/>
  <c r="AE8" i="1"/>
  <c r="AC8" i="1"/>
  <c r="Y8" i="1"/>
  <c r="W8" i="1"/>
  <c r="U8" i="1"/>
  <c r="S8" i="1"/>
  <c r="Q8" i="1"/>
  <c r="O8" i="1"/>
  <c r="M8" i="1"/>
  <c r="K8" i="1"/>
  <c r="I8" i="1"/>
  <c r="AZ7" i="1"/>
  <c r="AS7" i="1"/>
  <c r="AQ7" i="1"/>
  <c r="AO7" i="1"/>
  <c r="AM7" i="1"/>
  <c r="AK7" i="1"/>
  <c r="AI7" i="1"/>
  <c r="AG7" i="1"/>
  <c r="AE7" i="1"/>
  <c r="AC7" i="1"/>
  <c r="Y7" i="1"/>
  <c r="W7" i="1"/>
  <c r="U7" i="1"/>
  <c r="S7" i="1"/>
  <c r="Q7" i="1"/>
  <c r="O7" i="1"/>
  <c r="M7" i="1"/>
  <c r="K7" i="1"/>
  <c r="I7" i="1"/>
  <c r="AZ6" i="1"/>
  <c r="AS6" i="1"/>
  <c r="AQ6" i="1"/>
  <c r="AO6" i="1"/>
  <c r="AM6" i="1"/>
  <c r="AK6" i="1"/>
  <c r="AI6" i="1"/>
  <c r="AG6" i="1"/>
  <c r="AE6" i="1"/>
  <c r="AC6" i="1"/>
  <c r="Y6" i="1"/>
  <c r="W6" i="1"/>
  <c r="U6" i="1"/>
  <c r="S6" i="1"/>
  <c r="Q6" i="1"/>
  <c r="O6" i="1"/>
  <c r="M6" i="1"/>
  <c r="K6" i="1"/>
  <c r="I6" i="1"/>
  <c r="AZ5" i="1"/>
  <c r="AS5" i="1"/>
  <c r="AQ5" i="1"/>
  <c r="AO5" i="1"/>
  <c r="AM5" i="1"/>
  <c r="AK5" i="1"/>
  <c r="AI5" i="1"/>
  <c r="AG5" i="1"/>
  <c r="AE5" i="1"/>
  <c r="AC5" i="1"/>
  <c r="Y5" i="1"/>
  <c r="W5" i="1"/>
  <c r="U5" i="1"/>
  <c r="S5" i="1"/>
  <c r="Q5" i="1"/>
  <c r="O5" i="1"/>
  <c r="M5" i="1"/>
  <c r="K5" i="1"/>
  <c r="I5" i="1"/>
  <c r="AZ4" i="1"/>
  <c r="AS4" i="1"/>
  <c r="AQ4" i="1"/>
  <c r="AO4" i="1"/>
  <c r="AM4" i="1"/>
  <c r="AK4" i="1"/>
  <c r="AI4" i="1"/>
  <c r="AG4" i="1"/>
  <c r="AE4" i="1"/>
  <c r="AC4" i="1"/>
  <c r="Y4" i="1"/>
  <c r="W4" i="1"/>
  <c r="U4" i="1"/>
  <c r="S4" i="1"/>
  <c r="Q4" i="1"/>
  <c r="O4" i="1"/>
  <c r="M4" i="1"/>
  <c r="K4" i="1"/>
  <c r="I4" i="1"/>
  <c r="AR2" i="1"/>
  <c r="AP2" i="1"/>
  <c r="AN2" i="1"/>
  <c r="AL2" i="1"/>
  <c r="AJ2" i="1"/>
  <c r="AH2" i="1"/>
  <c r="AF2" i="1"/>
  <c r="AD2" i="1"/>
  <c r="AB2" i="1"/>
  <c r="X2" i="1"/>
  <c r="V2" i="1"/>
  <c r="T2" i="1"/>
  <c r="R2" i="1"/>
  <c r="P2" i="1"/>
  <c r="N2" i="1"/>
  <c r="L2" i="1"/>
  <c r="J2" i="1"/>
  <c r="H2" i="1"/>
  <c r="Z4" i="1" l="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AW103" i="1" l="1"/>
  <c r="AA103" i="1"/>
  <c r="AV103" i="1"/>
  <c r="AU103" i="1"/>
  <c r="AT103" i="1"/>
  <c r="AW102" i="1"/>
  <c r="AA102" i="1"/>
  <c r="AV102" i="1"/>
  <c r="AU102" i="1"/>
  <c r="AT102" i="1"/>
  <c r="AW101" i="1"/>
  <c r="AA101" i="1"/>
  <c r="AV101" i="1"/>
  <c r="AU101" i="1"/>
  <c r="AT101" i="1"/>
  <c r="AW100" i="1"/>
  <c r="AA100" i="1"/>
  <c r="AV100" i="1"/>
  <c r="AU100" i="1"/>
  <c r="AT100" i="1"/>
  <c r="AW99" i="1"/>
  <c r="AA99" i="1"/>
  <c r="AV99" i="1"/>
  <c r="AU99" i="1"/>
  <c r="AT99" i="1"/>
  <c r="AW98" i="1"/>
  <c r="AA98" i="1"/>
  <c r="AV98" i="1"/>
  <c r="AU98" i="1"/>
  <c r="AT98" i="1"/>
  <c r="AW97" i="1"/>
  <c r="AA97" i="1"/>
  <c r="AV97" i="1"/>
  <c r="AU97" i="1"/>
  <c r="AT97" i="1"/>
  <c r="AW96" i="1"/>
  <c r="AA96" i="1"/>
  <c r="AV96" i="1"/>
  <c r="AU96" i="1"/>
  <c r="AT96" i="1"/>
  <c r="AW95" i="1"/>
  <c r="AA95" i="1"/>
  <c r="AV95" i="1"/>
  <c r="AU95" i="1"/>
  <c r="AT95" i="1"/>
  <c r="AW94" i="1"/>
  <c r="AA94" i="1"/>
  <c r="AV94" i="1"/>
  <c r="AU94" i="1"/>
  <c r="AT94" i="1"/>
  <c r="AW93" i="1"/>
  <c r="AA93" i="1"/>
  <c r="AV93" i="1"/>
  <c r="AU93" i="1"/>
  <c r="AT93" i="1"/>
  <c r="AW92" i="1"/>
  <c r="AA92" i="1"/>
  <c r="AV92" i="1"/>
  <c r="AU92" i="1"/>
  <c r="AT92" i="1"/>
  <c r="AW91" i="1"/>
  <c r="AA91" i="1"/>
  <c r="AV91" i="1"/>
  <c r="AU91" i="1"/>
  <c r="AT91" i="1"/>
  <c r="AW90" i="1"/>
  <c r="AA90" i="1"/>
  <c r="AV90" i="1"/>
  <c r="AU90" i="1"/>
  <c r="AT90" i="1"/>
  <c r="AW89" i="1"/>
  <c r="AA89" i="1"/>
  <c r="AV89" i="1"/>
  <c r="AU89" i="1"/>
  <c r="AT89" i="1"/>
  <c r="AW88" i="1"/>
  <c r="AA88" i="1"/>
  <c r="AV88" i="1"/>
  <c r="AU88" i="1"/>
  <c r="AT88" i="1"/>
  <c r="AW87" i="1"/>
  <c r="AA87" i="1"/>
  <c r="AV87" i="1"/>
  <c r="AU87" i="1"/>
  <c r="AT87" i="1"/>
  <c r="AW86" i="1"/>
  <c r="AA86" i="1"/>
  <c r="AV86" i="1"/>
  <c r="AU86" i="1"/>
  <c r="AT86" i="1"/>
  <c r="AW85" i="1"/>
  <c r="AA85" i="1"/>
  <c r="AV85" i="1"/>
  <c r="AU85" i="1"/>
  <c r="AT85" i="1"/>
  <c r="AW84" i="1"/>
  <c r="AA84" i="1"/>
  <c r="AV84" i="1"/>
  <c r="AU84" i="1"/>
  <c r="AT84" i="1"/>
  <c r="AW83" i="1"/>
  <c r="AA83" i="1"/>
  <c r="AV83" i="1"/>
  <c r="AU83" i="1"/>
  <c r="AT83" i="1"/>
  <c r="AW82" i="1"/>
  <c r="AA82" i="1"/>
  <c r="AV82" i="1"/>
  <c r="AU82" i="1"/>
  <c r="AT82" i="1"/>
  <c r="AW81" i="1"/>
  <c r="AA81" i="1"/>
  <c r="AV81" i="1"/>
  <c r="AU81" i="1"/>
  <c r="AT81" i="1"/>
  <c r="AW80" i="1"/>
  <c r="AA80" i="1"/>
  <c r="AV80" i="1"/>
  <c r="AU80" i="1"/>
  <c r="AT80" i="1"/>
  <c r="AW79" i="1"/>
  <c r="AA79" i="1"/>
  <c r="AV79" i="1"/>
  <c r="AU79" i="1"/>
  <c r="AT79" i="1"/>
  <c r="AW78" i="1"/>
  <c r="AA78" i="1"/>
  <c r="AV78" i="1"/>
  <c r="AU78" i="1"/>
  <c r="AT78" i="1"/>
  <c r="AW77" i="1"/>
  <c r="AA77" i="1"/>
  <c r="AV77" i="1"/>
  <c r="AU77" i="1"/>
  <c r="AT77" i="1"/>
  <c r="AW76" i="1"/>
  <c r="AA76" i="1"/>
  <c r="AV76" i="1"/>
  <c r="AU76" i="1"/>
  <c r="AT76" i="1"/>
  <c r="AW75" i="1"/>
  <c r="AA75" i="1"/>
  <c r="AV75" i="1"/>
  <c r="AU75" i="1"/>
  <c r="AT75" i="1"/>
  <c r="AW74" i="1"/>
  <c r="AA74" i="1"/>
  <c r="AV74" i="1"/>
  <c r="AU74" i="1"/>
  <c r="AT74" i="1"/>
  <c r="AW73" i="1"/>
  <c r="AA73" i="1"/>
  <c r="AV73" i="1"/>
  <c r="AU73" i="1"/>
  <c r="AT73" i="1"/>
  <c r="AW72" i="1"/>
  <c r="AA72" i="1"/>
  <c r="AV72" i="1"/>
  <c r="AU72" i="1"/>
  <c r="AT72" i="1"/>
  <c r="AW71" i="1"/>
  <c r="AA71" i="1"/>
  <c r="AV71" i="1"/>
  <c r="AU71" i="1"/>
  <c r="AT71" i="1"/>
  <c r="AW70" i="1"/>
  <c r="AA70" i="1"/>
  <c r="AV70" i="1"/>
  <c r="AU70" i="1"/>
  <c r="AT70" i="1"/>
  <c r="AW69" i="1"/>
  <c r="AA69" i="1"/>
  <c r="AV69" i="1"/>
  <c r="AU69" i="1"/>
  <c r="AT69" i="1"/>
  <c r="AW68" i="1"/>
  <c r="AA68" i="1"/>
  <c r="AV68" i="1"/>
  <c r="AU68" i="1"/>
  <c r="AT68" i="1"/>
  <c r="AW67" i="1"/>
  <c r="AA67" i="1"/>
  <c r="AV67" i="1"/>
  <c r="AU67" i="1"/>
  <c r="AT67" i="1"/>
  <c r="AW66" i="1"/>
  <c r="AA66" i="1"/>
  <c r="AV66" i="1"/>
  <c r="AU66" i="1"/>
  <c r="AT66" i="1"/>
  <c r="AW65" i="1"/>
  <c r="AA65" i="1"/>
  <c r="AV65" i="1"/>
  <c r="AU65" i="1"/>
  <c r="AT65" i="1"/>
  <c r="AW64" i="1"/>
  <c r="AA64" i="1"/>
  <c r="AV64" i="1"/>
  <c r="AU64" i="1"/>
  <c r="AT64" i="1"/>
  <c r="AW63" i="1"/>
  <c r="AA63" i="1"/>
  <c r="AV63" i="1"/>
  <c r="AU63" i="1"/>
  <c r="AT63" i="1"/>
  <c r="AW62" i="1"/>
  <c r="AA62" i="1"/>
  <c r="AV62" i="1"/>
  <c r="AU62" i="1"/>
  <c r="AT62" i="1"/>
  <c r="AW61" i="1"/>
  <c r="AA61" i="1"/>
  <c r="AV61" i="1"/>
  <c r="AU61" i="1"/>
  <c r="AT61" i="1"/>
  <c r="AW60" i="1"/>
  <c r="AA60" i="1"/>
  <c r="AV60" i="1"/>
  <c r="AU60" i="1"/>
  <c r="AT60" i="1"/>
  <c r="AW59" i="1"/>
  <c r="AA59" i="1"/>
  <c r="AV59" i="1"/>
  <c r="AU59" i="1"/>
  <c r="AT59" i="1"/>
  <c r="AW58" i="1"/>
  <c r="AA58" i="1"/>
  <c r="AV58" i="1"/>
  <c r="AU58" i="1"/>
  <c r="AT58" i="1"/>
  <c r="AW57" i="1"/>
  <c r="AA57" i="1"/>
  <c r="AV57" i="1"/>
  <c r="AU57" i="1"/>
  <c r="AT57" i="1"/>
  <c r="AW56" i="1"/>
  <c r="AA56" i="1"/>
  <c r="AV56" i="1"/>
  <c r="AU56" i="1"/>
  <c r="AT56" i="1"/>
  <c r="AW55" i="1"/>
  <c r="AA55" i="1"/>
  <c r="AV55" i="1"/>
  <c r="AU55" i="1"/>
  <c r="AT55" i="1"/>
  <c r="AW54" i="1"/>
  <c r="AA54" i="1"/>
  <c r="AV54" i="1"/>
  <c r="AU54" i="1"/>
  <c r="AT54" i="1"/>
  <c r="AW53" i="1"/>
  <c r="AA53" i="1"/>
  <c r="AV53" i="1"/>
  <c r="AU53" i="1"/>
  <c r="AT53" i="1"/>
  <c r="AW52" i="1"/>
  <c r="AA52" i="1"/>
  <c r="AV52" i="1"/>
  <c r="AU52" i="1"/>
  <c r="AT52" i="1"/>
  <c r="AW51" i="1"/>
  <c r="AA51" i="1"/>
  <c r="AV51" i="1"/>
  <c r="AU51" i="1"/>
  <c r="AT51" i="1"/>
  <c r="AW50" i="1"/>
  <c r="AA50" i="1"/>
  <c r="AV50" i="1"/>
  <c r="AU50" i="1"/>
  <c r="AT50" i="1"/>
  <c r="AW49" i="1"/>
  <c r="AA49" i="1"/>
  <c r="AV49" i="1"/>
  <c r="AU49" i="1"/>
  <c r="AT49" i="1"/>
  <c r="AW48" i="1"/>
  <c r="AA48" i="1"/>
  <c r="AV48" i="1"/>
  <c r="AU48" i="1"/>
  <c r="AT48" i="1"/>
  <c r="AW47" i="1"/>
  <c r="AA47" i="1"/>
  <c r="AV47" i="1"/>
  <c r="AU47" i="1"/>
  <c r="AT47" i="1"/>
  <c r="AW46" i="1"/>
  <c r="AA46" i="1"/>
  <c r="AV46" i="1"/>
  <c r="AU46" i="1"/>
  <c r="AT46" i="1"/>
  <c r="AW45" i="1"/>
  <c r="AA45" i="1"/>
  <c r="AV45" i="1"/>
  <c r="AU45" i="1"/>
  <c r="AT45" i="1"/>
  <c r="AW44" i="1"/>
  <c r="AA44" i="1"/>
  <c r="AV44" i="1"/>
  <c r="AU44" i="1"/>
  <c r="AT44" i="1"/>
  <c r="AW43" i="1"/>
  <c r="AA43" i="1"/>
  <c r="AV43" i="1"/>
  <c r="AU43" i="1"/>
  <c r="AT43" i="1"/>
  <c r="AW42" i="1"/>
  <c r="AA42" i="1"/>
  <c r="AV42" i="1"/>
  <c r="AU42" i="1"/>
  <c r="AT42" i="1"/>
  <c r="AW41" i="1"/>
  <c r="AA41" i="1"/>
  <c r="AV41" i="1"/>
  <c r="AU41" i="1"/>
  <c r="AT41" i="1"/>
  <c r="AW40" i="1"/>
  <c r="AA40" i="1"/>
  <c r="AV40" i="1"/>
  <c r="AU40" i="1"/>
  <c r="AT40" i="1"/>
  <c r="AW39" i="1"/>
  <c r="AA39" i="1"/>
  <c r="AV39" i="1"/>
  <c r="AU39" i="1"/>
  <c r="AT39" i="1"/>
  <c r="AW38" i="1"/>
  <c r="AA38" i="1"/>
  <c r="AV38" i="1"/>
  <c r="AU38" i="1"/>
  <c r="AT38" i="1"/>
  <c r="AW37" i="1"/>
  <c r="AA37" i="1"/>
  <c r="AV37" i="1"/>
  <c r="AU37" i="1"/>
  <c r="AT37" i="1"/>
  <c r="AW36" i="1"/>
  <c r="AA36" i="1"/>
  <c r="AV36" i="1"/>
  <c r="AU36" i="1"/>
  <c r="AT36" i="1"/>
  <c r="AW35" i="1"/>
  <c r="AA35" i="1"/>
  <c r="AV35" i="1"/>
  <c r="AU35" i="1"/>
  <c r="AT35" i="1"/>
  <c r="AW34" i="1"/>
  <c r="AA34" i="1"/>
  <c r="AV34" i="1"/>
  <c r="AU34" i="1"/>
  <c r="AT34" i="1"/>
  <c r="AW33" i="1"/>
  <c r="AA33" i="1"/>
  <c r="AV33" i="1"/>
  <c r="AU33" i="1"/>
  <c r="AT33" i="1"/>
  <c r="AW32" i="1"/>
  <c r="AA32" i="1"/>
  <c r="AV32" i="1"/>
  <c r="AU32" i="1"/>
  <c r="AT32" i="1"/>
  <c r="AW31" i="1"/>
  <c r="AA31" i="1"/>
  <c r="AV31" i="1"/>
  <c r="AU31" i="1"/>
  <c r="AT31" i="1"/>
  <c r="AW30" i="1"/>
  <c r="AA30" i="1"/>
  <c r="AV30" i="1"/>
  <c r="AU30" i="1"/>
  <c r="AT30" i="1"/>
  <c r="AW29" i="1"/>
  <c r="AA29" i="1"/>
  <c r="AV29" i="1"/>
  <c r="AU29" i="1"/>
  <c r="AT29" i="1"/>
  <c r="AW28" i="1"/>
  <c r="AA28" i="1"/>
  <c r="AV28" i="1"/>
  <c r="AU28" i="1"/>
  <c r="AT28" i="1"/>
  <c r="AW27" i="1"/>
  <c r="AA27" i="1"/>
  <c r="AV27" i="1"/>
  <c r="AU27" i="1"/>
  <c r="AT27" i="1"/>
  <c r="AW26" i="1"/>
  <c r="AA26" i="1"/>
  <c r="AV26" i="1"/>
  <c r="AU26" i="1"/>
  <c r="AT26" i="1"/>
  <c r="AW25" i="1"/>
  <c r="AA25" i="1"/>
  <c r="AV25" i="1"/>
  <c r="AU25" i="1"/>
  <c r="AT25" i="1"/>
  <c r="AW24" i="1"/>
  <c r="AA24" i="1"/>
  <c r="AV24" i="1"/>
  <c r="AU24" i="1"/>
  <c r="AT24" i="1"/>
  <c r="AW23" i="1"/>
  <c r="AA23" i="1"/>
  <c r="AV23" i="1"/>
  <c r="AU23" i="1"/>
  <c r="AT23" i="1"/>
  <c r="AW22" i="1"/>
  <c r="AA22" i="1"/>
  <c r="AV22" i="1"/>
  <c r="AU22" i="1"/>
  <c r="AT22" i="1"/>
  <c r="AW21" i="1"/>
  <c r="AA21" i="1"/>
  <c r="AV21" i="1"/>
  <c r="AU21" i="1"/>
  <c r="AT21" i="1"/>
  <c r="AW20" i="1"/>
  <c r="AA20" i="1"/>
  <c r="AV20" i="1"/>
  <c r="AU20" i="1"/>
  <c r="AT20" i="1"/>
  <c r="AW19" i="1"/>
  <c r="AA19" i="1"/>
  <c r="AV19" i="1"/>
  <c r="AU19" i="1"/>
  <c r="AT19" i="1"/>
  <c r="AW18" i="1"/>
  <c r="AA18" i="1"/>
  <c r="AV18" i="1"/>
  <c r="AU18" i="1"/>
  <c r="AT18" i="1"/>
  <c r="AW17" i="1"/>
  <c r="AA17" i="1"/>
  <c r="AV17" i="1"/>
  <c r="AU17" i="1"/>
  <c r="AT17" i="1"/>
  <c r="AW16" i="1"/>
  <c r="AA16" i="1"/>
  <c r="AV16" i="1"/>
  <c r="AU16" i="1"/>
  <c r="AT16" i="1"/>
  <c r="AW15" i="1"/>
  <c r="AA15" i="1"/>
  <c r="AV15" i="1"/>
  <c r="AU15" i="1"/>
  <c r="AT15" i="1"/>
  <c r="AW14" i="1"/>
  <c r="AA14" i="1"/>
  <c r="AV14" i="1"/>
  <c r="AU14" i="1"/>
  <c r="AT14" i="1"/>
  <c r="AW13" i="1"/>
  <c r="AA13" i="1"/>
  <c r="AV13" i="1"/>
  <c r="AU13" i="1"/>
  <c r="AT13" i="1"/>
  <c r="AW12" i="1"/>
  <c r="AA12" i="1"/>
  <c r="AV12" i="1"/>
  <c r="AU12" i="1"/>
  <c r="AT12" i="1"/>
  <c r="AW11" i="1"/>
  <c r="AA11" i="1"/>
  <c r="AV11" i="1"/>
  <c r="AU11" i="1"/>
  <c r="AT11" i="1"/>
  <c r="AW10" i="1"/>
  <c r="AA10" i="1"/>
  <c r="AV10" i="1"/>
  <c r="AU10" i="1"/>
  <c r="AT10" i="1"/>
  <c r="AW9" i="1"/>
  <c r="AA9" i="1"/>
  <c r="AV9" i="1"/>
  <c r="AU9" i="1"/>
  <c r="AT9" i="1"/>
  <c r="AW8" i="1"/>
  <c r="AA8" i="1"/>
  <c r="AV8" i="1"/>
  <c r="AU8" i="1"/>
  <c r="AT8" i="1"/>
  <c r="AW7" i="1"/>
  <c r="AA7" i="1"/>
  <c r="AV7" i="1"/>
  <c r="AU7" i="1"/>
  <c r="AT7" i="1"/>
  <c r="AW6" i="1"/>
  <c r="AA6" i="1"/>
  <c r="AV6" i="1"/>
  <c r="AU6" i="1"/>
  <c r="AT6" i="1"/>
  <c r="AW5" i="1"/>
  <c r="AA5" i="1"/>
  <c r="AV5" i="1"/>
  <c r="AU5" i="1"/>
  <c r="AT5" i="1"/>
  <c r="AW4" i="1"/>
  <c r="AA4" i="1"/>
  <c r="AV4" i="1"/>
  <c r="AU4" i="1"/>
  <c r="AT4" i="1"/>
  <c r="AY4" i="1" l="1"/>
  <c r="BA4" i="1" s="1"/>
  <c r="AX4" i="1"/>
  <c r="AY5" i="1"/>
  <c r="BA5" i="1" s="1"/>
  <c r="AX5" i="1"/>
  <c r="AY6" i="1"/>
  <c r="BA6" i="1" s="1"/>
  <c r="AX6" i="1"/>
  <c r="AY7" i="1"/>
  <c r="BA7" i="1" s="1"/>
  <c r="AX7" i="1"/>
  <c r="AY8" i="1"/>
  <c r="BA8" i="1" s="1"/>
  <c r="AX8" i="1"/>
  <c r="AY9" i="1"/>
  <c r="BA9" i="1" s="1"/>
  <c r="AX9" i="1"/>
  <c r="AY10" i="1"/>
  <c r="BA10" i="1" s="1"/>
  <c r="AX10" i="1"/>
  <c r="AY11" i="1"/>
  <c r="BA11" i="1" s="1"/>
  <c r="AX11" i="1"/>
  <c r="AY12" i="1"/>
  <c r="BA12" i="1" s="1"/>
  <c r="AX12" i="1"/>
  <c r="AY13" i="1"/>
  <c r="BA13" i="1" s="1"/>
  <c r="AX13" i="1"/>
  <c r="AY14" i="1"/>
  <c r="BA14" i="1" s="1"/>
  <c r="AX14" i="1"/>
  <c r="AY15" i="1"/>
  <c r="BA15" i="1" s="1"/>
  <c r="AX15" i="1"/>
  <c r="AY16" i="1"/>
  <c r="BA16" i="1" s="1"/>
  <c r="AX16" i="1"/>
  <c r="AY17" i="1"/>
  <c r="BA17" i="1" s="1"/>
  <c r="AX17" i="1"/>
  <c r="AY18" i="1"/>
  <c r="BA18" i="1" s="1"/>
  <c r="AX18" i="1"/>
  <c r="AY19" i="1"/>
  <c r="BA19" i="1" s="1"/>
  <c r="AX19" i="1"/>
  <c r="AY20" i="1"/>
  <c r="BA20" i="1" s="1"/>
  <c r="AX20" i="1"/>
  <c r="AY21" i="1"/>
  <c r="BA21" i="1" s="1"/>
  <c r="AX21" i="1"/>
  <c r="AY22" i="1"/>
  <c r="BA22" i="1" s="1"/>
  <c r="AX22" i="1"/>
  <c r="AY23" i="1"/>
  <c r="BA23" i="1" s="1"/>
  <c r="AX23" i="1"/>
  <c r="AY24" i="1"/>
  <c r="BA24" i="1" s="1"/>
  <c r="AX24" i="1"/>
  <c r="AY25" i="1"/>
  <c r="BA25" i="1" s="1"/>
  <c r="AX25" i="1"/>
  <c r="AY26" i="1"/>
  <c r="BA26" i="1" s="1"/>
  <c r="AX26" i="1"/>
  <c r="AY27" i="1"/>
  <c r="BA27" i="1" s="1"/>
  <c r="AX27" i="1"/>
  <c r="AY28" i="1"/>
  <c r="BA28" i="1" s="1"/>
  <c r="AX28" i="1"/>
  <c r="AY29" i="1"/>
  <c r="BA29" i="1" s="1"/>
  <c r="AX29" i="1"/>
  <c r="AY30" i="1"/>
  <c r="BA30" i="1" s="1"/>
  <c r="AX30" i="1"/>
  <c r="AY31" i="1"/>
  <c r="BA31" i="1" s="1"/>
  <c r="AX31" i="1"/>
  <c r="AY32" i="1"/>
  <c r="BA32" i="1" s="1"/>
  <c r="AX32" i="1"/>
  <c r="AY33" i="1"/>
  <c r="BA33" i="1" s="1"/>
  <c r="AX33" i="1"/>
  <c r="AY34" i="1"/>
  <c r="BA34" i="1" s="1"/>
  <c r="AX34" i="1"/>
  <c r="AY35" i="1"/>
  <c r="BA35" i="1" s="1"/>
  <c r="AX35" i="1"/>
  <c r="AY36" i="1"/>
  <c r="BA36" i="1" s="1"/>
  <c r="AX36" i="1"/>
  <c r="AY37" i="1"/>
  <c r="BA37" i="1" s="1"/>
  <c r="AX37" i="1"/>
  <c r="AY38" i="1"/>
  <c r="BA38" i="1" s="1"/>
  <c r="AX38" i="1"/>
  <c r="AY39" i="1"/>
  <c r="BA39" i="1" s="1"/>
  <c r="AX39" i="1"/>
  <c r="AY40" i="1"/>
  <c r="BA40" i="1" s="1"/>
  <c r="AX40" i="1"/>
  <c r="AY41" i="1"/>
  <c r="BA41" i="1" s="1"/>
  <c r="AX41" i="1"/>
  <c r="AY42" i="1"/>
  <c r="BA42" i="1" s="1"/>
  <c r="AX42" i="1"/>
  <c r="AY43" i="1"/>
  <c r="BA43" i="1" s="1"/>
  <c r="AX43" i="1"/>
  <c r="AY44" i="1"/>
  <c r="BA44" i="1" s="1"/>
  <c r="AX44" i="1"/>
  <c r="AY45" i="1"/>
  <c r="BA45" i="1" s="1"/>
  <c r="AX45" i="1"/>
  <c r="AY46" i="1"/>
  <c r="BA46" i="1" s="1"/>
  <c r="AX46" i="1"/>
  <c r="AY47" i="1"/>
  <c r="BA47" i="1" s="1"/>
  <c r="AX47" i="1"/>
  <c r="AY48" i="1"/>
  <c r="BA48" i="1" s="1"/>
  <c r="AX48" i="1"/>
  <c r="AY49" i="1"/>
  <c r="BA49" i="1" s="1"/>
  <c r="AX49" i="1"/>
  <c r="AY50" i="1"/>
  <c r="BA50" i="1" s="1"/>
  <c r="AX50" i="1"/>
  <c r="AY51" i="1"/>
  <c r="BA51" i="1" s="1"/>
  <c r="AX51" i="1"/>
  <c r="AY52" i="1"/>
  <c r="BA52" i="1" s="1"/>
  <c r="AX52" i="1"/>
  <c r="AY53" i="1"/>
  <c r="BA53" i="1" s="1"/>
  <c r="AX53" i="1"/>
  <c r="AY54" i="1"/>
  <c r="BA54" i="1" s="1"/>
  <c r="AX54" i="1"/>
  <c r="AY55" i="1"/>
  <c r="BA55" i="1" s="1"/>
  <c r="AX55" i="1"/>
  <c r="AY56" i="1"/>
  <c r="BA56" i="1" s="1"/>
  <c r="AX56" i="1"/>
  <c r="AY57" i="1"/>
  <c r="BA57" i="1" s="1"/>
  <c r="AX57" i="1"/>
  <c r="AY58" i="1"/>
  <c r="BA58" i="1" s="1"/>
  <c r="AX58" i="1"/>
  <c r="AY59" i="1"/>
  <c r="BA59" i="1" s="1"/>
  <c r="AX59" i="1"/>
  <c r="AY60" i="1"/>
  <c r="BA60" i="1" s="1"/>
  <c r="AX60" i="1"/>
  <c r="AY61" i="1"/>
  <c r="BA61" i="1" s="1"/>
  <c r="AX61" i="1"/>
  <c r="AY62" i="1"/>
  <c r="BA62" i="1" s="1"/>
  <c r="AX62" i="1"/>
  <c r="AY63" i="1"/>
  <c r="BA63" i="1" s="1"/>
  <c r="AX63" i="1"/>
  <c r="AY64" i="1"/>
  <c r="BA64" i="1" s="1"/>
  <c r="AX64" i="1"/>
  <c r="AY65" i="1"/>
  <c r="BA65" i="1" s="1"/>
  <c r="AX65" i="1"/>
  <c r="AY66" i="1"/>
  <c r="BA66" i="1" s="1"/>
  <c r="AX66" i="1"/>
  <c r="AY67" i="1"/>
  <c r="BA67" i="1" s="1"/>
  <c r="AX67" i="1"/>
  <c r="AY68" i="1"/>
  <c r="BA68" i="1" s="1"/>
  <c r="AX68" i="1"/>
  <c r="AY69" i="1"/>
  <c r="BA69" i="1" s="1"/>
  <c r="AX69" i="1"/>
  <c r="AY70" i="1"/>
  <c r="BA70" i="1" s="1"/>
  <c r="AX70" i="1"/>
  <c r="AY71" i="1"/>
  <c r="BA71" i="1" s="1"/>
  <c r="AX71" i="1"/>
  <c r="AY72" i="1"/>
  <c r="BA72" i="1" s="1"/>
  <c r="AX72" i="1"/>
  <c r="AY73" i="1"/>
  <c r="BA73" i="1" s="1"/>
  <c r="AX73" i="1"/>
  <c r="AY74" i="1"/>
  <c r="BA74" i="1" s="1"/>
  <c r="AX74" i="1"/>
  <c r="AY75" i="1"/>
  <c r="BA75" i="1" s="1"/>
  <c r="AX75" i="1"/>
  <c r="AY76" i="1"/>
  <c r="BA76" i="1" s="1"/>
  <c r="AX76" i="1"/>
  <c r="AY77" i="1"/>
  <c r="BA77" i="1" s="1"/>
  <c r="AX77" i="1"/>
  <c r="AY78" i="1"/>
  <c r="BA78" i="1" s="1"/>
  <c r="AX78" i="1"/>
  <c r="AY79" i="1"/>
  <c r="BA79" i="1" s="1"/>
  <c r="AX79" i="1"/>
  <c r="AY80" i="1"/>
  <c r="BA80" i="1" s="1"/>
  <c r="AX80" i="1"/>
  <c r="AY81" i="1"/>
  <c r="BA81" i="1" s="1"/>
  <c r="AX81" i="1"/>
  <c r="AY82" i="1"/>
  <c r="BA82" i="1" s="1"/>
  <c r="AX82" i="1"/>
  <c r="AY83" i="1"/>
  <c r="BA83" i="1" s="1"/>
  <c r="AX83" i="1"/>
  <c r="AY84" i="1"/>
  <c r="BA84" i="1" s="1"/>
  <c r="AX84" i="1"/>
  <c r="AY85" i="1"/>
  <c r="BA85" i="1" s="1"/>
  <c r="AX85" i="1"/>
  <c r="AY86" i="1"/>
  <c r="BA86" i="1" s="1"/>
  <c r="AX86" i="1"/>
  <c r="AY87" i="1"/>
  <c r="BA87" i="1" s="1"/>
  <c r="AX87" i="1"/>
  <c r="AY88" i="1"/>
  <c r="BA88" i="1" s="1"/>
  <c r="AX88" i="1"/>
  <c r="AY89" i="1"/>
  <c r="BA89" i="1" s="1"/>
  <c r="AX89" i="1"/>
  <c r="AY90" i="1"/>
  <c r="BA90" i="1" s="1"/>
  <c r="AX90" i="1"/>
  <c r="AY91" i="1"/>
  <c r="BA91" i="1" s="1"/>
  <c r="AX91" i="1"/>
  <c r="AY92" i="1"/>
  <c r="BA92" i="1" s="1"/>
  <c r="AX92" i="1"/>
  <c r="AY93" i="1"/>
  <c r="BA93" i="1" s="1"/>
  <c r="AX93" i="1"/>
  <c r="AY94" i="1"/>
  <c r="BA94" i="1" s="1"/>
  <c r="AX94" i="1"/>
  <c r="AY95" i="1"/>
  <c r="BA95" i="1" s="1"/>
  <c r="AX95" i="1"/>
  <c r="AY96" i="1"/>
  <c r="BA96" i="1" s="1"/>
  <c r="AX96" i="1"/>
  <c r="AY97" i="1"/>
  <c r="BA97" i="1" s="1"/>
  <c r="AX97" i="1"/>
  <c r="AY98" i="1"/>
  <c r="BA98" i="1" s="1"/>
  <c r="AX98" i="1"/>
  <c r="AY99" i="1"/>
  <c r="BA99" i="1" s="1"/>
  <c r="AX99" i="1"/>
  <c r="AY100" i="1"/>
  <c r="BA100" i="1" s="1"/>
  <c r="AX100" i="1"/>
  <c r="AY101" i="1"/>
  <c r="BA101" i="1" s="1"/>
  <c r="AX101" i="1"/>
  <c r="AY102" i="1"/>
  <c r="BA102" i="1" s="1"/>
  <c r="AX102" i="1"/>
  <c r="AY103" i="1"/>
  <c r="BA103" i="1" s="1"/>
  <c r="AX103" i="1"/>
  <c r="C14" i="3" l="1"/>
  <c r="C13" i="3"/>
  <c r="C12" i="3"/>
  <c r="C11" i="3"/>
  <c r="C10" i="3"/>
  <c r="C9" i="3"/>
  <c r="C8" i="3"/>
  <c r="C7" i="3"/>
  <c r="C6" i="3"/>
  <c r="C5" i="3"/>
  <c r="R7" i="3"/>
  <c r="R6" i="3"/>
  <c r="R5" i="3"/>
</calcChain>
</file>

<file path=xl/sharedStrings.xml><?xml version="1.0" encoding="utf-8"?>
<sst xmlns="http://schemas.openxmlformats.org/spreadsheetml/2006/main" count="2347" uniqueCount="292">
  <si>
    <t>GROUP</t>
  </si>
  <si>
    <t>Student Ref</t>
  </si>
  <si>
    <t>Surname</t>
  </si>
  <si>
    <t>Forenames</t>
  </si>
  <si>
    <t>Gender</t>
  </si>
  <si>
    <t>Student DOB</t>
  </si>
  <si>
    <t>TARGET
GRADE</t>
  </si>
  <si>
    <t>Grade</t>
  </si>
  <si>
    <t>Points</t>
  </si>
  <si>
    <t>Year 1 Total</t>
  </si>
  <si>
    <t>Predicted Grade</t>
  </si>
  <si>
    <t>Passes</t>
  </si>
  <si>
    <t>Merits</t>
  </si>
  <si>
    <t>Dist.</t>
  </si>
  <si>
    <t>Overall</t>
  </si>
  <si>
    <t>Final Grade</t>
  </si>
  <si>
    <t>UCAS Points</t>
  </si>
  <si>
    <t>Target UCAS</t>
  </si>
  <si>
    <t>Achieved Target UCAS</t>
  </si>
  <si>
    <t>Rooney</t>
  </si>
  <si>
    <t>Zoey</t>
  </si>
  <si>
    <t>F</t>
  </si>
  <si>
    <t>MPP</t>
  </si>
  <si>
    <t>P</t>
  </si>
  <si>
    <t>M</t>
  </si>
  <si>
    <t>D</t>
  </si>
  <si>
    <t>Q</t>
  </si>
  <si>
    <t>Coyle</t>
  </si>
  <si>
    <t>Janae</t>
  </si>
  <si>
    <t>DDD</t>
  </si>
  <si>
    <t>Cunningham</t>
  </si>
  <si>
    <t>Sky</t>
  </si>
  <si>
    <t>MMM</t>
  </si>
  <si>
    <t>Kerr</t>
  </si>
  <si>
    <t>Kaia</t>
  </si>
  <si>
    <t>Todd</t>
  </si>
  <si>
    <t>Kennedi</t>
  </si>
  <si>
    <t>PPP</t>
  </si>
  <si>
    <t>Daley</t>
  </si>
  <si>
    <t>Diana</t>
  </si>
  <si>
    <t>Maher</t>
  </si>
  <si>
    <t>Daphne</t>
  </si>
  <si>
    <t>Putnam</t>
  </si>
  <si>
    <t>Katerina</t>
  </si>
  <si>
    <t>Fischer</t>
  </si>
  <si>
    <t>Victoria</t>
  </si>
  <si>
    <t>Bennett</t>
  </si>
  <si>
    <t>Annika</t>
  </si>
  <si>
    <t>Fitzsimmons</t>
  </si>
  <si>
    <t>Bailee</t>
  </si>
  <si>
    <t>MMP</t>
  </si>
  <si>
    <t>Akram</t>
  </si>
  <si>
    <t>Meagan</t>
  </si>
  <si>
    <t>Glass</t>
  </si>
  <si>
    <t>Karla</t>
  </si>
  <si>
    <t>Blair</t>
  </si>
  <si>
    <t>Liberty</t>
  </si>
  <si>
    <t>Middleton</t>
  </si>
  <si>
    <t>Daisy</t>
  </si>
  <si>
    <t>Reese</t>
  </si>
  <si>
    <t>Kiara</t>
  </si>
  <si>
    <t>Saleem</t>
  </si>
  <si>
    <t>Aurora</t>
  </si>
  <si>
    <t>Steele</t>
  </si>
  <si>
    <t>Andrea</t>
  </si>
  <si>
    <t>DMM</t>
  </si>
  <si>
    <t>O'Grady</t>
  </si>
  <si>
    <t>Karly</t>
  </si>
  <si>
    <t>Cox</t>
  </si>
  <si>
    <t>Emilee</t>
  </si>
  <si>
    <t>DDM</t>
  </si>
  <si>
    <t>Myers</t>
  </si>
  <si>
    <t>Halie</t>
  </si>
  <si>
    <t>Wells</t>
  </si>
  <si>
    <t>Sandy</t>
  </si>
  <si>
    <t>Fisher</t>
  </si>
  <si>
    <t>Alina</t>
  </si>
  <si>
    <t>Harrison</t>
  </si>
  <si>
    <t>Alize</t>
  </si>
  <si>
    <t>Humphrey</t>
  </si>
  <si>
    <t>Anjali</t>
  </si>
  <si>
    <t>Ayers</t>
  </si>
  <si>
    <t>Tianna</t>
  </si>
  <si>
    <t>Church</t>
  </si>
  <si>
    <t>MacKay</t>
  </si>
  <si>
    <t>Kyla</t>
  </si>
  <si>
    <t>Grantham</t>
  </si>
  <si>
    <t>Leanna</t>
  </si>
  <si>
    <t>Hawkins</t>
  </si>
  <si>
    <t>Rita</t>
  </si>
  <si>
    <t>Barnett</t>
  </si>
  <si>
    <t>Kaliyah</t>
  </si>
  <si>
    <t>Osman</t>
  </si>
  <si>
    <t>Kaila</t>
  </si>
  <si>
    <t>Ashby</t>
  </si>
  <si>
    <t>Nichole</t>
  </si>
  <si>
    <t>Mead</t>
  </si>
  <si>
    <t>Helena</t>
  </si>
  <si>
    <t>Dawson</t>
  </si>
  <si>
    <t>Mckenna</t>
  </si>
  <si>
    <t>Herndon</t>
  </si>
  <si>
    <t>Christy</t>
  </si>
  <si>
    <t>Sanders</t>
  </si>
  <si>
    <t>Christiana</t>
  </si>
  <si>
    <t>Thompson</t>
  </si>
  <si>
    <t>Macie</t>
  </si>
  <si>
    <t>Koch</t>
  </si>
  <si>
    <t>Kellie</t>
  </si>
  <si>
    <t>MacLean</t>
  </si>
  <si>
    <t>Allie</t>
  </si>
  <si>
    <t>Selina</t>
  </si>
  <si>
    <t>Vargas</t>
  </si>
  <si>
    <t>Haleigh</t>
  </si>
  <si>
    <t>Allen</t>
  </si>
  <si>
    <t>Lana</t>
  </si>
  <si>
    <t>Choate</t>
  </si>
  <si>
    <t>Jaquelin</t>
  </si>
  <si>
    <t>Roy</t>
  </si>
  <si>
    <t>Jimena</t>
  </si>
  <si>
    <t>Morales</t>
  </si>
  <si>
    <t>Kiley</t>
  </si>
  <si>
    <t>Hussein</t>
  </si>
  <si>
    <t>Warren</t>
  </si>
  <si>
    <t>Moody</t>
  </si>
  <si>
    <t>Javion</t>
  </si>
  <si>
    <t>Kendrick</t>
  </si>
  <si>
    <t>Gonzales</t>
  </si>
  <si>
    <t>Cristian</t>
  </si>
  <si>
    <t>Doherty</t>
  </si>
  <si>
    <t>Dallin</t>
  </si>
  <si>
    <t>Rose</t>
  </si>
  <si>
    <t>Kelton</t>
  </si>
  <si>
    <t>Collins</t>
  </si>
  <si>
    <t>Douglas</t>
  </si>
  <si>
    <t>Pennington</t>
  </si>
  <si>
    <t>Kendall</t>
  </si>
  <si>
    <t>Franklin</t>
  </si>
  <si>
    <t>Rogelio</t>
  </si>
  <si>
    <t>Bradley</t>
  </si>
  <si>
    <t>Cullen</t>
  </si>
  <si>
    <t>Bell</t>
  </si>
  <si>
    <t>Keagan</t>
  </si>
  <si>
    <t>Coyne</t>
  </si>
  <si>
    <t>Kellen</t>
  </si>
  <si>
    <t>Dodd</t>
  </si>
  <si>
    <t>Frederick</t>
  </si>
  <si>
    <t>Murdock</t>
  </si>
  <si>
    <t>Diego</t>
  </si>
  <si>
    <t>Sinclair</t>
  </si>
  <si>
    <t>Jace</t>
  </si>
  <si>
    <t>Rashid</t>
  </si>
  <si>
    <t>Walker</t>
  </si>
  <si>
    <t>Whalen</t>
  </si>
  <si>
    <t>Kurt</t>
  </si>
  <si>
    <t>Bradford</t>
  </si>
  <si>
    <t>Russell</t>
  </si>
  <si>
    <t>Hasan</t>
  </si>
  <si>
    <t>Jalen</t>
  </si>
  <si>
    <t>Beach</t>
  </si>
  <si>
    <t>Brad</t>
  </si>
  <si>
    <t>Peterson</t>
  </si>
  <si>
    <t>Patrick</t>
  </si>
  <si>
    <t>Browne</t>
  </si>
  <si>
    <t>Eric</t>
  </si>
  <si>
    <t>Ross</t>
  </si>
  <si>
    <t>Malcolm</t>
  </si>
  <si>
    <t>Ali</t>
  </si>
  <si>
    <t>Dillan</t>
  </si>
  <si>
    <t>Malloy</t>
  </si>
  <si>
    <t>Adriel</t>
  </si>
  <si>
    <t>Riley</t>
  </si>
  <si>
    <t>Jadon</t>
  </si>
  <si>
    <t>House</t>
  </si>
  <si>
    <t>Rodrigo</t>
  </si>
  <si>
    <t>Spencer</t>
  </si>
  <si>
    <t>Brock</t>
  </si>
  <si>
    <t>Hess</t>
  </si>
  <si>
    <t>Winston</t>
  </si>
  <si>
    <t>MacDonald</t>
  </si>
  <si>
    <t>Justice</t>
  </si>
  <si>
    <t>McDonald</t>
  </si>
  <si>
    <t>Max</t>
  </si>
  <si>
    <t>Asher</t>
  </si>
  <si>
    <t>Thurston</t>
  </si>
  <si>
    <t>Jayson</t>
  </si>
  <si>
    <t>Gilliam</t>
  </si>
  <si>
    <t>Jarrod</t>
  </si>
  <si>
    <t>Moser</t>
  </si>
  <si>
    <t>Gavin</t>
  </si>
  <si>
    <t>Neville</t>
  </si>
  <si>
    <t>Fabian</t>
  </si>
  <si>
    <t>Stokes</t>
  </si>
  <si>
    <t>Vincent</t>
  </si>
  <si>
    <t>Rivera</t>
  </si>
  <si>
    <t>Salvatore</t>
  </si>
  <si>
    <t>Gavyn</t>
  </si>
  <si>
    <t>Healy</t>
  </si>
  <si>
    <t>Darian</t>
  </si>
  <si>
    <t>McClure</t>
  </si>
  <si>
    <t>Aden</t>
  </si>
  <si>
    <t>Wooten</t>
  </si>
  <si>
    <t>Keegan</t>
  </si>
  <si>
    <t>Carver</t>
  </si>
  <si>
    <t>Abram</t>
  </si>
  <si>
    <t>Luc</t>
  </si>
  <si>
    <t>Norwood</t>
  </si>
  <si>
    <t>Chris</t>
  </si>
  <si>
    <t>Lopez</t>
  </si>
  <si>
    <t>Kian</t>
  </si>
  <si>
    <t>Palmer</t>
  </si>
  <si>
    <t>Ray</t>
  </si>
  <si>
    <t>Levesque</t>
  </si>
  <si>
    <t>Zackary</t>
  </si>
  <si>
    <t>Warner</t>
  </si>
  <si>
    <t>Shemar</t>
  </si>
  <si>
    <t>Ruiz</t>
  </si>
  <si>
    <t>David</t>
  </si>
  <si>
    <t>McMahon</t>
  </si>
  <si>
    <t>Hassan</t>
  </si>
  <si>
    <t>Zaman</t>
  </si>
  <si>
    <t>Liam</t>
  </si>
  <si>
    <t>Dugan</t>
  </si>
  <si>
    <t>Lance</t>
  </si>
  <si>
    <t>Koenig</t>
  </si>
  <si>
    <t>Rene</t>
  </si>
  <si>
    <t xml:space="preserve">First Year Units       </t>
  </si>
  <si>
    <t>UNIT POINTS</t>
  </si>
  <si>
    <t>EXTENDED DIPLOMA GRADES</t>
  </si>
  <si>
    <t>UNIT NO</t>
  </si>
  <si>
    <t>UNIT TITLE</t>
  </si>
  <si>
    <t>ABBREVIATION</t>
  </si>
  <si>
    <t>GRADE</t>
  </si>
  <si>
    <t>POINTS</t>
  </si>
  <si>
    <t>FROM</t>
  </si>
  <si>
    <t>TO</t>
  </si>
  <si>
    <t>ACTUAL GRADE</t>
  </si>
  <si>
    <t>UCAS POINTS</t>
  </si>
  <si>
    <t>Communication and Employability Skills for IT</t>
  </si>
  <si>
    <t>CESIT</t>
  </si>
  <si>
    <t>Computer Systems</t>
  </si>
  <si>
    <t>CS</t>
  </si>
  <si>
    <t>Software Design and Development</t>
  </si>
  <si>
    <t>SDD</t>
  </si>
  <si>
    <t>Event Driven Programming</t>
  </si>
  <si>
    <t>EDP</t>
  </si>
  <si>
    <t>U</t>
  </si>
  <si>
    <t>Database Design</t>
  </si>
  <si>
    <t>DBD</t>
  </si>
  <si>
    <t>Data Analysis and Design</t>
  </si>
  <si>
    <t>DAD</t>
  </si>
  <si>
    <t>Developing Computer Games</t>
  </si>
  <si>
    <t>DCG</t>
  </si>
  <si>
    <t>Installing and Upgrading Software</t>
  </si>
  <si>
    <t>IUS</t>
  </si>
  <si>
    <t>DDD*</t>
  </si>
  <si>
    <t>Computer Game Design</t>
  </si>
  <si>
    <t>CGD</t>
  </si>
  <si>
    <t>DD*D*</t>
  </si>
  <si>
    <t>above</t>
  </si>
  <si>
    <t>D*D*D*</t>
  </si>
  <si>
    <t xml:space="preserve">                    SECOND YEAR UNITS</t>
  </si>
  <si>
    <t xml:space="preserve">                           UNIT TITLE</t>
  </si>
  <si>
    <t>Information Systems</t>
  </si>
  <si>
    <t>IS</t>
  </si>
  <si>
    <t>Graphics</t>
  </si>
  <si>
    <t>GR</t>
  </si>
  <si>
    <t>e-Commerce</t>
  </si>
  <si>
    <t>eCOM</t>
  </si>
  <si>
    <t>Animation</t>
  </si>
  <si>
    <t>ANI</t>
  </si>
  <si>
    <t>Spreadsheet Modelling</t>
  </si>
  <si>
    <t>SSM</t>
  </si>
  <si>
    <t>Client Side Customisation of Web Pages</t>
  </si>
  <si>
    <t>CSC</t>
  </si>
  <si>
    <t>Website Production</t>
  </si>
  <si>
    <t>WSP</t>
  </si>
  <si>
    <t>Human Computer Interaction</t>
  </si>
  <si>
    <t>HCI</t>
  </si>
  <si>
    <t>Multimedia Design</t>
  </si>
  <si>
    <t>MD</t>
  </si>
  <si>
    <t>Grades</t>
  </si>
  <si>
    <t>Total scores</t>
  </si>
  <si>
    <t>RESULT</t>
  </si>
  <si>
    <t>COUNTIF</t>
  </si>
  <si>
    <t>Better</t>
  </si>
  <si>
    <t>Worse</t>
  </si>
  <si>
    <t>Same</t>
  </si>
  <si>
    <t>Total SUM of Overall</t>
  </si>
  <si>
    <t>Total AVERAGE of Overall</t>
  </si>
  <si>
    <t>SUM of Overall</t>
  </si>
  <si>
    <t>AVERAGE of Overall</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</si>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</sst>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font>
    <font>
      <sz val="8"/>
      <name val="Arial"/>
    </font>
    <font>
      <sz val="8"/>
      <name val="Calibri"/>
    </font>
    <font>
      <sz val="8"/>
      <color rgb="FF000000"/>
      <name val="Calibri"/>
    </font>
    <font>
      <sz val="10"/>
      <name val="Arial"/>
    </font>
    <font>
      <b/>
      <sz val="16"/>
      <name val="Arial"/>
    </font>
    <font>
      <b/>
      <u/>
      <sz val="11"/>
      <name val="Arial"/>
    </font>
    <font>
      <b/>
      <sz val="11"/>
      <name val="Arial"/>
    </font>
    <font>
      <sz val="16"/>
      <name val="Arial"/>
    </font>
    <font>
      <b/>
      <sz val="8"/>
      <name val="Comic sans ms"/>
    </font>
    <font>
      <sz val="10"/>
      <name val="Times New Roman"/>
    </font>
    <font>
      <sz val="8"/>
      <color rgb="FF000000"/>
      <name val="Trebuchet MS"/>
    </font>
    <font>
      <sz val="8"/>
      <name val="Comic sans ms"/>
    </font>
    <font>
      <sz val="12"/>
      <name val="Times New Roman"/>
    </font>
    <font>
      <sz val="10"/>
      <color rgb="FF000000"/>
      <name val="Trebuchet MS"/>
    </font>
  </fonts>
  <fills count="8">
    <fill>
      <patternFill patternType="none"/>
    </fill>
    <fill>
      <patternFill patternType="gray125"/>
    </fill>
    <fill>
      <patternFill patternType="solid">
        <fgColor rgb="FF00B0F0"/>
        <bgColor rgb="FF00B0F0"/>
      </patternFill>
    </fill>
    <fill>
      <patternFill patternType="solid">
        <fgColor rgb="FFD6E3BC"/>
        <bgColor rgb="FFD6E3BC"/>
      </patternFill>
    </fill>
    <fill>
      <patternFill patternType="solid">
        <fgColor rgb="FFFBD4B4"/>
        <bgColor rgb="FFFBD4B4"/>
      </patternFill>
    </fill>
    <fill>
      <patternFill patternType="solid">
        <fgColor rgb="FFF2DBDB"/>
        <bgColor rgb="FFF2DBDB"/>
      </patternFill>
    </fill>
    <fill>
      <patternFill patternType="solid">
        <fgColor rgb="FFE0E0E0"/>
        <bgColor rgb="FFE0E0E0"/>
      </patternFill>
    </fill>
    <fill>
      <patternFill patternType="solid">
        <fgColor rgb="FFFFFFFF"/>
        <bgColor rgb="FFFFFFFF"/>
      </patternFill>
    </fill>
  </fills>
  <borders count="29">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ck">
        <color rgb="FF000000"/>
      </left>
      <right style="hair">
        <color rgb="FF000000"/>
      </right>
      <top style="thick">
        <color rgb="FF000000"/>
      </top>
      <bottom/>
      <diagonal/>
    </border>
    <border>
      <left style="hair">
        <color rgb="FF000000"/>
      </left>
      <right style="thick">
        <color rgb="FF000000"/>
      </right>
      <top style="thick">
        <color rgb="FF000000"/>
      </top>
      <bottom/>
      <diagonal/>
    </border>
    <border>
      <left style="thick">
        <color rgb="FF000000"/>
      </left>
      <right style="hair">
        <color rgb="FF000000"/>
      </right>
      <top/>
      <bottom/>
      <diagonal/>
    </border>
    <border>
      <left style="hair">
        <color rgb="FF000000"/>
      </left>
      <right style="thick">
        <color rgb="FF000000"/>
      </right>
      <top/>
      <bottom/>
      <diagonal/>
    </border>
    <border>
      <left style="thick">
        <color rgb="FF000000"/>
      </left>
      <right style="hair">
        <color rgb="FF000000"/>
      </right>
      <top/>
      <bottom style="hair">
        <color rgb="FF000000"/>
      </bottom>
      <diagonal/>
    </border>
    <border>
      <left/>
      <right style="thick">
        <color rgb="FF000000"/>
      </right>
      <top/>
      <bottom style="hair">
        <color rgb="FF000000"/>
      </bottom>
      <diagonal/>
    </border>
    <border>
      <left style="thick">
        <color rgb="FF000000"/>
      </left>
      <right style="hair">
        <color rgb="FF000000"/>
      </right>
      <top/>
      <bottom style="thick">
        <color rgb="FF000000"/>
      </bottom>
      <diagonal/>
    </border>
    <border>
      <left/>
      <right style="thick">
        <color rgb="FF000000"/>
      </right>
      <top/>
      <bottom style="thick">
        <color rgb="FF000000"/>
      </bottom>
      <diagonal/>
    </border>
    <border>
      <left style="thin">
        <color indexed="8"/>
      </left>
      <right/>
      <top style="thin">
        <color indexed="8"/>
      </top>
      <bottom/>
      <diagonal/>
    </border>
    <border>
      <left style="thin">
        <color indexed="65"/>
      </left>
      <right/>
      <top style="thin">
        <color indexed="8"/>
      </top>
      <bottom/>
      <diagonal/>
    </border>
    <border>
      <left style="thin">
        <color indexed="8"/>
      </left>
      <right style="thin">
        <color indexed="8"/>
      </right>
      <top style="thin">
        <color indexed="8"/>
      </top>
      <bottom/>
      <diagonal/>
    </border>
    <border>
      <left/>
      <right/>
      <top style="thin">
        <color indexed="8"/>
      </top>
      <bottom/>
      <diagonal/>
    </border>
    <border>
      <left style="thin">
        <color indexed="8"/>
      </left>
      <right/>
      <top style="thin">
        <color indexed="65"/>
      </top>
      <bottom/>
      <diagonal/>
    </border>
    <border>
      <left style="thin">
        <color indexed="8"/>
      </left>
      <right style="thin">
        <color indexed="8"/>
      </right>
      <top style="thin">
        <color indexed="65"/>
      </top>
      <bottom/>
      <diagonal/>
    </border>
    <border>
      <left style="thin">
        <color indexed="8"/>
      </left>
      <right/>
      <top/>
      <bottom/>
      <diagonal/>
    </border>
    <border>
      <left style="thin">
        <color indexed="8"/>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89">
    <xf numFmtId="0" fontId="0" fillId="0" borderId="0" xfId="0" applyFont="1" applyAlignment="1">
      <alignment wrapText="1"/>
    </xf>
    <xf numFmtId="0" fontId="1" fillId="2" borderId="1" xfId="0" applyFont="1" applyFill="1" applyBorder="1" applyAlignment="1"/>
    <xf numFmtId="0" fontId="1" fillId="2" borderId="1" xfId="0" applyFont="1" applyFill="1" applyBorder="1" applyAlignment="1">
      <alignment horizontal="center"/>
    </xf>
    <xf numFmtId="0" fontId="2" fillId="2" borderId="1" xfId="0" applyFont="1" applyFill="1" applyBorder="1" applyAlignment="1">
      <alignment wrapText="1"/>
    </xf>
    <xf numFmtId="0" fontId="1" fillId="0" borderId="0" xfId="0" applyFont="1" applyAlignment="1"/>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1" fillId="2" borderId="1" xfId="0" applyFont="1" applyFill="1" applyBorder="1" applyAlignment="1">
      <alignment vertical="center" wrapText="1"/>
    </xf>
    <xf numFmtId="0" fontId="1" fillId="0" borderId="0" xfId="0" applyFont="1" applyAlignment="1">
      <alignment vertical="center"/>
    </xf>
    <xf numFmtId="0" fontId="1"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1" fontId="3" fillId="0" borderId="0" xfId="0" applyNumberFormat="1" applyFont="1" applyAlignment="1">
      <alignment horizontal="center" vertical="center" wrapText="1"/>
    </xf>
    <xf numFmtId="14" fontId="3" fillId="0" borderId="0" xfId="0" applyNumberFormat="1" applyFont="1" applyAlignment="1">
      <alignment horizontal="center" vertical="center" wrapText="1"/>
    </xf>
    <xf numFmtId="1" fontId="2" fillId="0" borderId="0" xfId="0" applyNumberFormat="1" applyFont="1" applyAlignment="1">
      <alignment horizontal="center" vertical="center"/>
    </xf>
    <xf numFmtId="0" fontId="2" fillId="0" borderId="0" xfId="0" applyFont="1" applyAlignment="1">
      <alignment horizontal="center" vertical="center" wrapText="1"/>
    </xf>
    <xf numFmtId="0" fontId="7" fillId="5"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8" fillId="0" borderId="2" xfId="0" applyFont="1" applyBorder="1" applyAlignment="1"/>
    <xf numFmtId="0" fontId="8" fillId="0" borderId="5" xfId="0" applyFont="1" applyBorder="1" applyAlignment="1">
      <alignment horizontal="center"/>
    </xf>
    <xf numFmtId="0" fontId="8" fillId="0" borderId="6" xfId="0" applyFont="1" applyBorder="1" applyAlignment="1">
      <alignment horizontal="center"/>
    </xf>
    <xf numFmtId="0" fontId="8" fillId="0" borderId="3" xfId="0" applyFont="1" applyBorder="1" applyAlignment="1"/>
    <xf numFmtId="0" fontId="8" fillId="0" borderId="4" xfId="0" applyFont="1" applyBorder="1" applyAlignment="1"/>
    <xf numFmtId="0" fontId="8" fillId="0" borderId="0" xfId="0" applyFont="1" applyAlignment="1"/>
    <xf numFmtId="0" fontId="8" fillId="0" borderId="6" xfId="0" applyFont="1" applyBorder="1" applyAlignment="1"/>
    <xf numFmtId="0" fontId="8" fillId="0" borderId="7" xfId="0" applyFont="1" applyBorder="1" applyAlignment="1">
      <alignment horizontal="center"/>
    </xf>
    <xf numFmtId="0" fontId="8" fillId="0" borderId="8" xfId="0" applyFont="1" applyBorder="1" applyAlignment="1">
      <alignment horizontal="center"/>
    </xf>
    <xf numFmtId="0" fontId="8" fillId="0" borderId="7" xfId="0" applyFont="1" applyBorder="1" applyAlignment="1"/>
    <xf numFmtId="0" fontId="8" fillId="0" borderId="9" xfId="0" applyFont="1" applyBorder="1" applyAlignment="1"/>
    <xf numFmtId="0" fontId="8" fillId="0" borderId="5" xfId="0" applyFont="1" applyBorder="1" applyAlignment="1"/>
    <xf numFmtId="0" fontId="8" fillId="0" borderId="8" xfId="0" applyFont="1" applyBorder="1" applyAlignment="1"/>
    <xf numFmtId="0" fontId="10" fillId="0" borderId="0" xfId="0" applyFont="1" applyAlignment="1">
      <alignment vertical="center" wrapText="1"/>
    </xf>
    <xf numFmtId="0" fontId="11"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3" fillId="0" borderId="0" xfId="0" applyFont="1" applyAlignment="1">
      <alignment vertical="center" wrapText="1"/>
    </xf>
    <xf numFmtId="0" fontId="14" fillId="0" borderId="14" xfId="0" applyFont="1" applyBorder="1" applyAlignment="1">
      <alignment horizontal="center" vertical="center" wrapText="1"/>
    </xf>
    <xf numFmtId="0" fontId="14"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11" fillId="0" borderId="16" xfId="0" applyFont="1" applyBorder="1" applyAlignment="1">
      <alignment horizontal="center" vertical="center" wrapText="1"/>
    </xf>
    <xf numFmtId="0" fontId="11" fillId="7" borderId="0" xfId="0" applyFont="1" applyFill="1" applyAlignment="1">
      <alignment horizontal="center" vertical="center" wrapText="1"/>
    </xf>
    <xf numFmtId="0" fontId="12" fillId="7" borderId="0" xfId="0" applyFont="1" applyFill="1" applyAlignment="1">
      <alignment horizontal="center" vertical="center" wrapText="1"/>
    </xf>
    <xf numFmtId="0" fontId="4" fillId="0" borderId="0" xfId="0" applyFont="1" applyAlignment="1"/>
    <xf numFmtId="1" fontId="4" fillId="0" borderId="0" xfId="0" applyNumberFormat="1" applyFont="1" applyAlignment="1"/>
    <xf numFmtId="0" fontId="9" fillId="6" borderId="10" xfId="0" applyFont="1" applyFill="1" applyBorder="1" applyAlignment="1">
      <alignment horizontal="center" vertical="center" wrapText="1"/>
    </xf>
    <xf numFmtId="0" fontId="9" fillId="6" borderId="11" xfId="0" applyFont="1" applyFill="1" applyBorder="1" applyAlignment="1">
      <alignment horizontal="center" vertical="center" wrapText="1"/>
    </xf>
    <xf numFmtId="0" fontId="12" fillId="7" borderId="0" xfId="0" applyFont="1" applyFill="1" applyAlignment="1">
      <alignment horizontal="center" vertical="center" wrapText="1"/>
    </xf>
    <xf numFmtId="0" fontId="0" fillId="0" borderId="0" xfId="0" applyFont="1" applyAlignment="1">
      <alignment wrapText="1"/>
    </xf>
    <xf numFmtId="0" fontId="0" fillId="0" borderId="18" xfId="0" applyFont="1" applyBorder="1" applyAlignment="1">
      <alignment wrapText="1"/>
    </xf>
    <xf numFmtId="0" fontId="0" fillId="0" borderId="19" xfId="0" applyFont="1" applyBorder="1" applyAlignment="1">
      <alignment wrapText="1"/>
    </xf>
    <xf numFmtId="0" fontId="0" fillId="0" borderId="20" xfId="0" applyFont="1" applyBorder="1" applyAlignment="1">
      <alignment wrapText="1"/>
    </xf>
    <xf numFmtId="0" fontId="0" fillId="0" borderId="21" xfId="0" applyFont="1" applyBorder="1" applyAlignment="1">
      <alignment wrapText="1"/>
    </xf>
    <xf numFmtId="0" fontId="0" fillId="0" borderId="22" xfId="0" applyFont="1" applyBorder="1" applyAlignment="1">
      <alignment wrapText="1"/>
    </xf>
    <xf numFmtId="0" fontId="0" fillId="0" borderId="23" xfId="0" applyFont="1" applyBorder="1" applyAlignment="1">
      <alignment wrapText="1"/>
    </xf>
    <xf numFmtId="0" fontId="0" fillId="0" borderId="18" xfId="0" applyNumberFormat="1" applyFont="1" applyBorder="1" applyAlignment="1">
      <alignment wrapText="1"/>
    </xf>
    <xf numFmtId="0" fontId="0" fillId="0" borderId="21" xfId="0" applyNumberFormat="1" applyFont="1" applyBorder="1" applyAlignment="1">
      <alignment wrapText="1"/>
    </xf>
    <xf numFmtId="0" fontId="0" fillId="0" borderId="20" xfId="0" applyNumberFormat="1" applyFont="1" applyBorder="1" applyAlignment="1">
      <alignment wrapText="1"/>
    </xf>
    <xf numFmtId="0" fontId="0" fillId="0" borderId="24" xfId="0" applyFont="1" applyBorder="1" applyAlignment="1">
      <alignment wrapText="1"/>
    </xf>
    <xf numFmtId="0" fontId="0" fillId="0" borderId="24" xfId="0" applyNumberFormat="1" applyFont="1" applyBorder="1" applyAlignment="1">
      <alignment wrapText="1"/>
    </xf>
    <xf numFmtId="0" fontId="0" fillId="0" borderId="1" xfId="0" applyNumberFormat="1" applyFont="1" applyBorder="1" applyAlignment="1">
      <alignment wrapText="1"/>
    </xf>
    <xf numFmtId="0" fontId="0" fillId="0" borderId="25" xfId="0" applyNumberFormat="1" applyFont="1" applyBorder="1" applyAlignment="1">
      <alignment wrapText="1"/>
    </xf>
    <xf numFmtId="0" fontId="0" fillId="0" borderId="26" xfId="0" applyFont="1" applyBorder="1" applyAlignment="1">
      <alignment wrapText="1"/>
    </xf>
    <xf numFmtId="0" fontId="0" fillId="0" borderId="26" xfId="0" applyNumberFormat="1" applyFont="1" applyBorder="1" applyAlignment="1">
      <alignment wrapText="1"/>
    </xf>
    <xf numFmtId="0" fontId="0" fillId="0" borderId="27" xfId="0" applyNumberFormat="1" applyFont="1" applyBorder="1" applyAlignment="1">
      <alignment wrapText="1"/>
    </xf>
    <xf numFmtId="0" fontId="0" fillId="0" borderId="28" xfId="0" applyNumberFormat="1" applyFont="1" applyBorder="1" applyAlignment="1">
      <alignment wrapText="1"/>
    </xf>
    <xf numFmtId="0" fontId="5" fillId="3" borderId="2" xfId="0" applyFont="1" applyFill="1" applyBorder="1" applyAlignment="1">
      <alignment horizontal="center"/>
    </xf>
    <xf numFmtId="0" fontId="4" fillId="0" borderId="3" xfId="0" applyFont="1" applyBorder="1" applyAlignment="1">
      <alignment wrapText="1"/>
    </xf>
    <xf numFmtId="0" fontId="5" fillId="4" borderId="2" xfId="0" applyFont="1" applyFill="1" applyBorder="1" applyAlignment="1">
      <alignment horizontal="center"/>
    </xf>
    <xf numFmtId="0" fontId="4" fillId="0" borderId="4" xfId="0" applyFont="1" applyBorder="1" applyAlignment="1">
      <alignment wrapText="1"/>
    </xf>
    <xf numFmtId="0" fontId="6" fillId="5" borderId="2" xfId="0" applyFont="1" applyFill="1" applyBorder="1" applyAlignment="1"/>
    <xf numFmtId="0" fontId="6" fillId="5" borderId="3" xfId="0" applyFont="1" applyFill="1" applyBorder="1" applyAlignment="1"/>
    <xf numFmtId="0" fontId="6" fillId="5" borderId="4" xfId="0" applyFont="1" applyFill="1" applyBorder="1" applyAlignment="1"/>
    <xf numFmtId="0" fontId="5" fillId="3" borderId="7" xfId="0" applyFont="1" applyFill="1" applyBorder="1" applyAlignment="1">
      <alignment horizontal="center"/>
    </xf>
    <xf numFmtId="0" fontId="5" fillId="3" borderId="9" xfId="0" applyFont="1" applyFill="1" applyBorder="1" applyAlignment="1">
      <alignment horizontal="center"/>
    </xf>
    <xf numFmtId="0" fontId="5" fillId="3" borderId="8" xfId="0" applyFont="1" applyFill="1" applyBorder="1" applyAlignment="1">
      <alignment horizontal="center"/>
    </xf>
    <xf numFmtId="0" fontId="5" fillId="4" borderId="7" xfId="0" applyFont="1" applyFill="1" applyBorder="1" applyAlignment="1"/>
    <xf numFmtId="0" fontId="5" fillId="4" borderId="8" xfId="0" applyFont="1" applyFill="1" applyBorder="1" applyAlignment="1"/>
    <xf numFmtId="0" fontId="7" fillId="5" borderId="7" xfId="0" applyFont="1" applyFill="1" applyBorder="1" applyAlignment="1">
      <alignment horizontal="center" vertical="center"/>
    </xf>
    <xf numFmtId="0" fontId="7" fillId="5" borderId="6" xfId="0" applyFont="1" applyFill="1" applyBorder="1" applyAlignment="1">
      <alignment horizontal="center" vertical="center" wrapText="1"/>
    </xf>
    <xf numFmtId="0" fontId="8" fillId="3" borderId="2" xfId="0" applyFont="1" applyFill="1" applyBorder="1" applyAlignment="1"/>
    <xf numFmtId="0" fontId="8" fillId="3" borderId="3" xfId="0" applyFont="1" applyFill="1" applyBorder="1" applyAlignment="1"/>
    <xf numFmtId="0" fontId="8" fillId="3" borderId="4" xfId="0" applyFont="1" applyFill="1" applyBorder="1" applyAlignment="1"/>
    <xf numFmtId="0" fontId="8" fillId="3" borderId="7" xfId="0" applyFont="1" applyFill="1" applyBorder="1" applyAlignment="1"/>
    <xf numFmtId="0" fontId="8" fillId="3" borderId="9" xfId="0" applyFont="1" applyFill="1" applyBorder="1" applyAlignment="1"/>
    <xf numFmtId="0" fontId="8" fillId="3" borderId="8" xfId="0" applyFont="1" applyFill="1" applyBorder="1" applyAlignment="1"/>
    <xf numFmtId="0" fontId="4" fillId="0" borderId="12" xfId="0" applyFont="1" applyBorder="1" applyAlignment="1">
      <alignment wrapText="1"/>
    </xf>
    <xf numFmtId="0" fontId="4" fillId="0" borderId="13" xfId="0" applyFont="1" applyBorder="1" applyAlignment="1">
      <alignment wrapText="1"/>
    </xf>
  </cellXfs>
  <cellStyles count="1">
    <cellStyle name="Normal" xfId="0" builtinId="0"/>
  </cellStyles>
  <dxfs count="6">
    <dxf>
      <font>
        <b/>
        <color rgb="FFFFC000"/>
      </font>
      <fill>
        <patternFill patternType="none"/>
      </fill>
      <alignment wrapText="0" shrinkToFit="0"/>
    </dxf>
    <dxf>
      <font>
        <b/>
        <color rgb="FFFF0000"/>
      </font>
      <fill>
        <patternFill patternType="none"/>
      </fill>
      <alignment wrapText="0" shrinkToFit="0"/>
    </dxf>
    <dxf>
      <font>
        <b/>
        <color rgb="FF00B050"/>
      </font>
      <fill>
        <patternFill patternType="none"/>
      </fill>
      <alignment wrapText="0" shrinkToFit="0"/>
    </dxf>
    <dxf>
      <fill>
        <patternFill patternType="solid">
          <fgColor rgb="FFFF0000"/>
          <bgColor rgb="FFFF0000"/>
        </patternFill>
      </fill>
      <alignment wrapText="0" shrinkToFit="0"/>
      <border>
        <left/>
        <right/>
        <top/>
        <bottom/>
      </border>
    </dxf>
    <dxf>
      <fill>
        <patternFill patternType="solid">
          <fgColor rgb="FFFFFF00"/>
          <bgColor rgb="FFFFFF00"/>
        </patternFill>
      </fill>
      <alignment wrapText="0" shrinkToFit="0"/>
      <border>
        <left/>
        <right/>
        <top/>
        <bottom/>
      </border>
    </dxf>
    <dxf>
      <fill>
        <patternFill patternType="solid">
          <fgColor rgb="FF92D050"/>
          <bgColor rgb="FF92D050"/>
        </patternFill>
      </fill>
      <alignment wrapText="0" shrinkToFi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000000"/>
                </a:solidFill>
                <a:latin typeface="Roboto"/>
              </a:defRPr>
            </a:pPr>
            <a:r>
              <a:rPr b="0">
                <a:solidFill>
                  <a:srgbClr val="000000"/>
                </a:solidFill>
                <a:latin typeface="Roboto"/>
              </a:rPr>
              <a:t>Overall Grades</a:t>
            </a:r>
          </a:p>
        </c:rich>
      </c:tx>
      <c:overlay val="0"/>
    </c:title>
    <c:autoTitleDeleted val="0"/>
    <c:plotArea>
      <c:layout/>
      <c:barChart>
        <c:barDir val="col"/>
        <c:grouping val="clustered"/>
        <c:varyColors val="1"/>
        <c:ser>
          <c:idx val="0"/>
          <c:order val="0"/>
          <c:tx>
            <c:strRef>
              <c:f>ANALYSIS!$C$3</c:f>
              <c:strCache>
                <c:ptCount val="1"/>
                <c:pt idx="0">
                  <c:v>Total scores</c:v>
                </c:pt>
              </c:strCache>
            </c:strRef>
          </c:tx>
          <c:spPr>
            <a:solidFill>
              <a:srgbClr val="4F81BD"/>
            </a:solidFill>
            <a:ln cmpd="sng">
              <a:solidFill>
                <a:srgbClr val="000000"/>
              </a:solidFill>
            </a:ln>
          </c:spPr>
          <c:invertIfNegative val="1"/>
          <c:cat>
            <c:strRef>
              <c:f>ANALYSIS!$B$4:$B$14</c:f>
              <c:strCache>
                <c:ptCount val="11"/>
                <c:pt idx="1">
                  <c:v>PPP</c:v>
                </c:pt>
                <c:pt idx="2">
                  <c:v>MPP</c:v>
                </c:pt>
                <c:pt idx="3">
                  <c:v>MMP</c:v>
                </c:pt>
                <c:pt idx="4">
                  <c:v>MMM</c:v>
                </c:pt>
                <c:pt idx="5">
                  <c:v>DMM</c:v>
                </c:pt>
                <c:pt idx="6">
                  <c:v>DDM</c:v>
                </c:pt>
                <c:pt idx="7">
                  <c:v>DDD</c:v>
                </c:pt>
                <c:pt idx="8">
                  <c:v>DDD*</c:v>
                </c:pt>
                <c:pt idx="9">
                  <c:v>DD*D*</c:v>
                </c:pt>
                <c:pt idx="10">
                  <c:v>D*D*D*</c:v>
                </c:pt>
              </c:strCache>
            </c:strRef>
          </c:cat>
          <c:val>
            <c:numRef>
              <c:f>ANALYSIS!$C$4:$C$14</c:f>
              <c:numCache>
                <c:formatCode>General</c:formatCode>
                <c:ptCount val="11"/>
                <c:pt idx="1">
                  <c:v>1</c:v>
                </c:pt>
                <c:pt idx="2">
                  <c:v>18</c:v>
                </c:pt>
                <c:pt idx="3">
                  <c:v>47</c:v>
                </c:pt>
                <c:pt idx="4">
                  <c:v>28</c:v>
                </c:pt>
                <c:pt idx="5">
                  <c:v>5</c:v>
                </c:pt>
                <c:pt idx="6">
                  <c:v>1</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8A5-47E2-A80D-199A4A0C53F0}"/>
            </c:ext>
          </c:extLst>
        </c:ser>
        <c:dLbls>
          <c:showLegendKey val="0"/>
          <c:showVal val="0"/>
          <c:showCatName val="0"/>
          <c:showSerName val="0"/>
          <c:showPercent val="0"/>
          <c:showBubbleSize val="0"/>
        </c:dLbls>
        <c:gapWidth val="150"/>
        <c:axId val="1316533121"/>
        <c:axId val="681879700"/>
      </c:barChart>
      <c:catAx>
        <c:axId val="1316533121"/>
        <c:scaling>
          <c:orientation val="minMax"/>
        </c:scaling>
        <c:delete val="0"/>
        <c:axPos val="b"/>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681879700"/>
        <c:crosses val="autoZero"/>
        <c:auto val="1"/>
        <c:lblAlgn val="ctr"/>
        <c:lblOffset val="100"/>
        <c:noMultiLvlLbl val="1"/>
      </c:catAx>
      <c:valAx>
        <c:axId val="6818797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1316533121"/>
        <c:crosses val="autoZero"/>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000000"/>
                </a:solidFill>
                <a:latin typeface="Roboto"/>
              </a:defRPr>
            </a:pPr>
            <a:r>
              <a:rPr b="0">
                <a:solidFill>
                  <a:srgbClr val="000000"/>
                </a:solidFill>
                <a:latin typeface="Roboto"/>
              </a:rPr>
              <a:t>Students Achieved Target UCAS </a:t>
            </a:r>
          </a:p>
        </c:rich>
      </c:tx>
      <c:overlay val="0"/>
    </c:title>
    <c:autoTitleDeleted val="0"/>
    <c:plotArea>
      <c:layout/>
      <c:pieChart>
        <c:varyColors val="1"/>
        <c:ser>
          <c:idx val="0"/>
          <c:order val="0"/>
          <c:dPt>
            <c:idx val="0"/>
            <c:bubble3D val="0"/>
            <c:spPr>
              <a:solidFill>
                <a:srgbClr val="3366CC"/>
              </a:solidFill>
            </c:spPr>
            <c:extLst>
              <c:ext xmlns:c16="http://schemas.microsoft.com/office/drawing/2014/chart" uri="{C3380CC4-5D6E-409C-BE32-E72D297353CC}">
                <c16:uniqueId val="{00000001-77A5-402D-B88A-2A63EAF09E9E}"/>
              </c:ext>
            </c:extLst>
          </c:dPt>
          <c:dPt>
            <c:idx val="1"/>
            <c:bubble3D val="0"/>
            <c:spPr>
              <a:solidFill>
                <a:srgbClr val="DC3912"/>
              </a:solidFill>
            </c:spPr>
            <c:extLst>
              <c:ext xmlns:c16="http://schemas.microsoft.com/office/drawing/2014/chart" uri="{C3380CC4-5D6E-409C-BE32-E72D297353CC}">
                <c16:uniqueId val="{00000003-77A5-402D-B88A-2A63EAF09E9E}"/>
              </c:ext>
            </c:extLst>
          </c:dPt>
          <c:dPt>
            <c:idx val="2"/>
            <c:bubble3D val="0"/>
            <c:spPr>
              <a:solidFill>
                <a:srgbClr val="FF9900"/>
              </a:solidFill>
            </c:spPr>
            <c:extLst>
              <c:ext xmlns:c16="http://schemas.microsoft.com/office/drawing/2014/chart" uri="{C3380CC4-5D6E-409C-BE32-E72D297353CC}">
                <c16:uniqueId val="{00000005-77A5-402D-B88A-2A63EAF09E9E}"/>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ANALYSIS!$Q$5:$Q$7</c:f>
              <c:strCache>
                <c:ptCount val="3"/>
                <c:pt idx="0">
                  <c:v>Better</c:v>
                </c:pt>
                <c:pt idx="1">
                  <c:v>Worse</c:v>
                </c:pt>
                <c:pt idx="2">
                  <c:v>Same</c:v>
                </c:pt>
              </c:strCache>
            </c:strRef>
          </c:cat>
          <c:val>
            <c:numRef>
              <c:f>ANALYSIS!$R$5:$R$7</c:f>
              <c:numCache>
                <c:formatCode>General</c:formatCode>
                <c:ptCount val="3"/>
                <c:pt idx="0">
                  <c:v>31</c:v>
                </c:pt>
                <c:pt idx="1">
                  <c:v>52</c:v>
                </c:pt>
                <c:pt idx="2">
                  <c:v>17</c:v>
                </c:pt>
              </c:numCache>
            </c:numRef>
          </c:val>
          <c:extLst>
            <c:ext xmlns:c16="http://schemas.microsoft.com/office/drawing/2014/chart" uri="{C3380CC4-5D6E-409C-BE32-E72D297353CC}">
              <c16:uniqueId val="{00000006-77A5-402D-B88A-2A63EAF09E9E}"/>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390525</xdr:colOff>
      <xdr:row>1</xdr:row>
      <xdr:rowOff>152400</xdr:rowOff>
    </xdr:from>
    <xdr:ext cx="8591550" cy="2771775"/>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19</xdr:col>
      <xdr:colOff>38100</xdr:colOff>
      <xdr:row>1</xdr:row>
      <xdr:rowOff>152400</xdr:rowOff>
    </xdr:from>
    <xdr:ext cx="3086100" cy="2752725"/>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847725</xdr:colOff>
      <xdr:row>42</xdr:row>
      <xdr:rowOff>114300</xdr:rowOff>
    </xdr:from>
    <xdr:ext cx="4495800" cy="2771775"/>
    <xdr:pic>
      <xdr:nvPicPr>
        <xdr:cNvPr id="473653462" name="Chart3" title="Chart">
          <a:extLst>
            <a:ext uri="{FF2B5EF4-FFF2-40B4-BE49-F238E27FC236}">
              <a16:creationId xmlns:a16="http://schemas.microsoft.com/office/drawing/2014/main" id="{00000000-0008-0000-0200-0000D6603B1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21</xdr:col>
      <xdr:colOff>0</xdr:colOff>
      <xdr:row>17</xdr:row>
      <xdr:rowOff>133350</xdr:rowOff>
    </xdr:from>
    <xdr:ext cx="1333500" cy="1295400"/>
    <xdr:sp macro="" textlink="">
      <xdr:nvSpPr>
        <xdr:cNvPr id="4" name="Shape 3">
          <a:extLst>
            <a:ext uri="{FF2B5EF4-FFF2-40B4-BE49-F238E27FC236}">
              <a16:creationId xmlns:a16="http://schemas.microsoft.com/office/drawing/2014/main" id="{00000000-0008-0000-0200-000004000000}"/>
            </a:ext>
          </a:extLst>
        </xdr:cNvPr>
        <xdr:cNvSpPr txBox="1"/>
      </xdr:nvSpPr>
      <xdr:spPr>
        <a:xfrm>
          <a:off x="4679250" y="3137063"/>
          <a:ext cx="1333500" cy="1285875"/>
        </a:xfrm>
        <a:prstGeom prst="rect">
          <a:avLst/>
        </a:prstGeom>
        <a:solidFill>
          <a:schemeClr val="lt1"/>
        </a:solidFill>
        <a:ln w="9525" cap="flat" cmpd="sng">
          <a:solidFill>
            <a:srgbClr val="BBBBBB"/>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9090"/>
            </a:lnSpc>
            <a:spcBef>
              <a:spcPts val="0"/>
            </a:spcBef>
            <a:spcAft>
              <a:spcPts val="0"/>
            </a:spcAft>
            <a:buNone/>
          </a:pPr>
          <a:r>
            <a:rPr lang="en-US" sz="1100" b="0" i="0" u="none" strike="noStrike" cap="none">
              <a:solidFill>
                <a:schemeClr val="dk1"/>
              </a:solidFill>
              <a:latin typeface="Arial"/>
              <a:ea typeface="Arial"/>
              <a:cs typeface="Arial"/>
              <a:sym typeface="Arial"/>
            </a:rPr>
            <a:t>The data is showing the total amount of students who achieved a better, same or worse than their targeted target UCAS score.</a:t>
          </a:r>
          <a:endParaRPr sz="1100" b="0" i="0" u="none" strike="noStrike" cap="none"/>
        </a:p>
      </xdr:txBody>
    </xdr:sp>
    <xdr:clientData fLocksWithSheet="0"/>
  </xdr:oneCellAnchor>
  <xdr:oneCellAnchor>
    <xdr:from>
      <xdr:col>7</xdr:col>
      <xdr:colOff>9525</xdr:colOff>
      <xdr:row>42</xdr:row>
      <xdr:rowOff>114300</xdr:rowOff>
    </xdr:from>
    <xdr:ext cx="1876425" cy="2895600"/>
    <xdr:sp macro="" textlink="">
      <xdr:nvSpPr>
        <xdr:cNvPr id="5" name="Shape 4">
          <a:extLst>
            <a:ext uri="{FF2B5EF4-FFF2-40B4-BE49-F238E27FC236}">
              <a16:creationId xmlns:a16="http://schemas.microsoft.com/office/drawing/2014/main" id="{00000000-0008-0000-0200-000005000000}"/>
            </a:ext>
          </a:extLst>
        </xdr:cNvPr>
        <xdr:cNvSpPr txBox="1"/>
      </xdr:nvSpPr>
      <xdr:spPr>
        <a:xfrm>
          <a:off x="4407788" y="2341725"/>
          <a:ext cx="1876425" cy="2876550"/>
        </a:xfrm>
        <a:prstGeom prst="rect">
          <a:avLst/>
        </a:prstGeom>
        <a:solidFill>
          <a:schemeClr val="lt1"/>
        </a:solidFill>
        <a:ln w="9525" cap="flat" cmpd="sng">
          <a:solidFill>
            <a:srgbClr val="BBBBBB"/>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0" i="0" u="none" strike="noStrike" cap="none">
              <a:solidFill>
                <a:schemeClr val="dk1"/>
              </a:solidFill>
              <a:latin typeface="Arial"/>
              <a:ea typeface="Arial"/>
              <a:cs typeface="Arial"/>
              <a:sym typeface="Arial"/>
            </a:rPr>
            <a:t>The data shows the sum of the gender total for females, this is the information in the pie chart and the data in the table shows the female sum and average for their overall totals as well as the males sum and average for each group the table also shows the sum of both added up for each group and the average as well. The table also shows the group sum and averages for females and males from all of the groups.</a:t>
          </a:r>
          <a:endParaRPr sz="1100" b="0" i="0" u="none" strike="noStrike" cap="none"/>
        </a:p>
      </xdr:txBody>
    </xdr:sp>
    <xdr:clientData fLocksWithSheet="0"/>
  </xdr:oneCellAnchor>
  <xdr:oneCellAnchor>
    <xdr:from>
      <xdr:col>7</xdr:col>
      <xdr:colOff>323850</xdr:colOff>
      <xdr:row>17</xdr:row>
      <xdr:rowOff>95250</xdr:rowOff>
    </xdr:from>
    <xdr:ext cx="3905250" cy="1609725"/>
    <xdr:sp macro="" textlink="">
      <xdr:nvSpPr>
        <xdr:cNvPr id="6" name="Shape 5">
          <a:extLst>
            <a:ext uri="{FF2B5EF4-FFF2-40B4-BE49-F238E27FC236}">
              <a16:creationId xmlns:a16="http://schemas.microsoft.com/office/drawing/2014/main" id="{00000000-0008-0000-0200-000006000000}"/>
            </a:ext>
          </a:extLst>
        </xdr:cNvPr>
        <xdr:cNvSpPr txBox="1"/>
      </xdr:nvSpPr>
      <xdr:spPr>
        <a:xfrm>
          <a:off x="3398138" y="2979900"/>
          <a:ext cx="3895725" cy="1600200"/>
        </a:xfrm>
        <a:prstGeom prst="rect">
          <a:avLst/>
        </a:prstGeom>
        <a:solidFill>
          <a:schemeClr val="lt1"/>
        </a:solidFill>
        <a:ln w="9525" cap="flat" cmpd="sng">
          <a:solidFill>
            <a:srgbClr val="BBBBBB"/>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9090"/>
            </a:lnSpc>
            <a:spcBef>
              <a:spcPts val="0"/>
            </a:spcBef>
            <a:spcAft>
              <a:spcPts val="0"/>
            </a:spcAft>
            <a:buNone/>
          </a:pPr>
          <a:r>
            <a:rPr lang="en-US" sz="1100" b="0" i="0" u="none" strike="noStrike" cap="none">
              <a:solidFill>
                <a:schemeClr val="dk1"/>
              </a:solidFill>
              <a:latin typeface="Arial"/>
              <a:ea typeface="Arial"/>
              <a:cs typeface="Arial"/>
              <a:sym typeface="Arial"/>
            </a:rPr>
            <a:t>The data is showing that this is the total amount of grades that has been obtained by the students over the two years, and this shows the total number of each grade. The grade that the students got the most was MMP with 47 students getting it.</a:t>
          </a:r>
          <a:endParaRPr sz="1100" b="0" i="0" u="none" strike="noStrike" cap="none"/>
        </a:p>
      </xdr:txBody>
    </xdr: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5988.414548263892" refreshedVersion="8" recordCount="100" xr:uid="{00000000-000A-0000-FFFF-FFFF00000000}">
  <cacheSource type="worksheet">
    <worksheetSource ref="A3:BA103" sheet="BTEC PROGRESS MONITORING"/>
  </cacheSource>
  <cacheFields count="53">
    <cacheField name="GROUP" numFmtId="0">
      <sharedItems containsSemiMixedTypes="0" containsString="0" containsNumber="1" containsInteger="1" minValue="1" maxValue="4" count="4">
        <n v="2"/>
        <n v="3"/>
        <n v="1"/>
        <n v="4"/>
      </sharedItems>
    </cacheField>
    <cacheField name="Student Ref" numFmtId="0">
      <sharedItems containsSemiMixedTypes="0" containsString="0" containsNumber="1" containsInteger="1" minValue="5004328" maxValue="9964030"/>
    </cacheField>
    <cacheField name="Surname" numFmtId="0">
      <sharedItems/>
    </cacheField>
    <cacheField name="Forenames" numFmtId="0">
      <sharedItems/>
    </cacheField>
    <cacheField name="Gender" numFmtId="0">
      <sharedItems count="2">
        <s v="F"/>
        <s v="M"/>
      </sharedItems>
    </cacheField>
    <cacheField name="Student DOB" numFmtId="14">
      <sharedItems containsSemiMixedTypes="0" containsNonDate="0" containsDate="1" containsString="0" minDate="1989-12-30T00:00:00" maxDate="1993-07-28T00:00:00"/>
    </cacheField>
    <cacheField name="TARGET_x000a_GRADE" numFmtId="0">
      <sharedItems/>
    </cacheField>
    <cacheField name="Grade" numFmtId="14">
      <sharedItems/>
    </cacheField>
    <cacheField name="Points" numFmtId="1">
      <sharedItems containsSemiMixedTypes="0" containsString="0" containsNumber="1" containsInteger="1" minValue="70" maxValue="90"/>
    </cacheField>
    <cacheField name="Grade2" numFmtId="14">
      <sharedItems/>
    </cacheField>
    <cacheField name="Points2" numFmtId="1">
      <sharedItems containsSemiMixedTypes="0" containsString="0" containsNumber="1" containsInteger="1" minValue="70" maxValue="90"/>
    </cacheField>
    <cacheField name="Grade3" numFmtId="14">
      <sharedItems/>
    </cacheField>
    <cacheField name="Points3" numFmtId="1">
      <sharedItems containsSemiMixedTypes="0" containsString="0" containsNumber="1" containsInteger="1" minValue="70" maxValue="90"/>
    </cacheField>
    <cacheField name="Grade4" numFmtId="14">
      <sharedItems/>
    </cacheField>
    <cacheField name="Points4" numFmtId="1">
      <sharedItems containsSemiMixedTypes="0" containsString="0" containsNumber="1" containsInteger="1" minValue="70" maxValue="90"/>
    </cacheField>
    <cacheField name="Grade5" numFmtId="14">
      <sharedItems/>
    </cacheField>
    <cacheField name="Points5" numFmtId="1">
      <sharedItems containsSemiMixedTypes="0" containsString="0" containsNumber="1" containsInteger="1" minValue="70" maxValue="90"/>
    </cacheField>
    <cacheField name="Grade6" numFmtId="14">
      <sharedItems/>
    </cacheField>
    <cacheField name="Points6" numFmtId="1">
      <sharedItems containsSemiMixedTypes="0" containsString="0" containsNumber="1" containsInteger="1" minValue="70" maxValue="90"/>
    </cacheField>
    <cacheField name="Grade7" numFmtId="14">
      <sharedItems/>
    </cacheField>
    <cacheField name="Points7" numFmtId="1">
      <sharedItems containsSemiMixedTypes="0" containsString="0" containsNumber="1" containsInteger="1" minValue="70" maxValue="90"/>
    </cacheField>
    <cacheField name="Grade8" numFmtId="14">
      <sharedItems/>
    </cacheField>
    <cacheField name="Points8" numFmtId="1">
      <sharedItems containsSemiMixedTypes="0" containsString="0" containsNumber="1" containsInteger="1" minValue="70" maxValue="90"/>
    </cacheField>
    <cacheField name="Grade9" numFmtId="14">
      <sharedItems/>
    </cacheField>
    <cacheField name="Points9" numFmtId="1">
      <sharedItems containsSemiMixedTypes="0" containsString="0" containsNumber="1" containsInteger="1" minValue="70" maxValue="90"/>
    </cacheField>
    <cacheField name="Year 1 Total" numFmtId="1">
      <sharedItems containsSemiMixedTypes="0" containsString="0" containsNumber="1" containsInteger="1" minValue="670" maxValue="800"/>
    </cacheField>
    <cacheField name="Predicted Grade" numFmtId="1">
      <sharedItems/>
    </cacheField>
    <cacheField name="Grade10" numFmtId="14">
      <sharedItems/>
    </cacheField>
    <cacheField name="Points10" numFmtId="1">
      <sharedItems containsSemiMixedTypes="0" containsString="0" containsNumber="1" containsInteger="1" minValue="70" maxValue="90"/>
    </cacheField>
    <cacheField name="Grade11" numFmtId="14">
      <sharedItems/>
    </cacheField>
    <cacheField name="Points11" numFmtId="1">
      <sharedItems containsSemiMixedTypes="0" containsString="0" containsNumber="1" containsInteger="1" minValue="70" maxValue="90"/>
    </cacheField>
    <cacheField name="Grade12" numFmtId="14">
      <sharedItems/>
    </cacheField>
    <cacheField name="Points12" numFmtId="1">
      <sharedItems containsSemiMixedTypes="0" containsString="0" containsNumber="1" containsInteger="1" minValue="70" maxValue="90"/>
    </cacheField>
    <cacheField name="Grade13" numFmtId="14">
      <sharedItems/>
    </cacheField>
    <cacheField name="Points13" numFmtId="1">
      <sharedItems containsSemiMixedTypes="0" containsString="0" containsNumber="1" containsInteger="1" minValue="70" maxValue="90"/>
    </cacheField>
    <cacheField name="Grade14" numFmtId="14">
      <sharedItems/>
    </cacheField>
    <cacheField name="Points14" numFmtId="1">
      <sharedItems containsSemiMixedTypes="0" containsString="0" containsNumber="1" containsInteger="1" minValue="70" maxValue="90"/>
    </cacheField>
    <cacheField name="Grade15" numFmtId="14">
      <sharedItems/>
    </cacheField>
    <cacheField name="Points15" numFmtId="1">
      <sharedItems containsSemiMixedTypes="0" containsString="0" containsNumber="1" containsInteger="1" minValue="70" maxValue="90"/>
    </cacheField>
    <cacheField name="Grade16" numFmtId="14">
      <sharedItems/>
    </cacheField>
    <cacheField name="Points16" numFmtId="1">
      <sharedItems containsSemiMixedTypes="0" containsString="0" containsNumber="1" containsInteger="1" minValue="70" maxValue="90"/>
    </cacheField>
    <cacheField name="Grade17" numFmtId="14">
      <sharedItems/>
    </cacheField>
    <cacheField name="Points17" numFmtId="1">
      <sharedItems containsSemiMixedTypes="0" containsString="0" containsNumber="1" containsInteger="1" minValue="70" maxValue="90"/>
    </cacheField>
    <cacheField name="Grade18" numFmtId="14">
      <sharedItems/>
    </cacheField>
    <cacheField name="Points18" numFmtId="0">
      <sharedItems containsSemiMixedTypes="0" containsString="0" containsNumber="1" containsInteger="1" minValue="70" maxValue="90"/>
    </cacheField>
    <cacheField name="Passes" numFmtId="0">
      <sharedItems containsSemiMixedTypes="0" containsString="0" containsNumber="1" containsInteger="1" minValue="0" maxValue="10"/>
    </cacheField>
    <cacheField name="Merits" numFmtId="0">
      <sharedItems containsSemiMixedTypes="0" containsString="0" containsNumber="1" containsInteger="1" minValue="1" maxValue="14"/>
    </cacheField>
    <cacheField name="Dist." numFmtId="0">
      <sharedItems containsSemiMixedTypes="0" containsString="0" containsNumber="1" containsInteger="1" minValue="1" maxValue="10"/>
    </cacheField>
    <cacheField name="Overall" numFmtId="1">
      <sharedItems containsSemiMixedTypes="0" containsString="0" containsNumber="1" containsInteger="1" minValue="1280" maxValue="1460"/>
    </cacheField>
    <cacheField name="Final Grade" numFmtId="0">
      <sharedItems/>
    </cacheField>
    <cacheField name="UCAS Points" numFmtId="0">
      <sharedItems containsSemiMixedTypes="0" containsString="0" containsNumber="1" containsInteger="1" minValue="120" maxValue="320"/>
    </cacheField>
    <cacheField name="Target UCAS" numFmtId="0">
      <sharedItems containsSemiMixedTypes="0" containsString="0" containsNumber="1" containsInteger="1" minValue="120" maxValue="360"/>
    </cacheField>
    <cacheField name="Achieved Target UCA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8491053"/>
    <s v="Rooney"/>
    <s v="Zoey"/>
    <x v="0"/>
    <d v="1991-02-10T00:00:00"/>
    <s v="MPP"/>
    <s v="P"/>
    <n v="70"/>
    <s v="M"/>
    <n v="80"/>
    <s v="M"/>
    <n v="80"/>
    <s v="P"/>
    <n v="70"/>
    <s v="P"/>
    <n v="70"/>
    <s v="P"/>
    <n v="70"/>
    <s v="M"/>
    <n v="80"/>
    <s v="P"/>
    <n v="70"/>
    <s v="M"/>
    <n v="80"/>
    <n v="670"/>
    <s v="MMP"/>
    <s v="M"/>
    <n v="80"/>
    <s v="M"/>
    <n v="80"/>
    <s v="D"/>
    <n v="90"/>
    <s v="M"/>
    <n v="80"/>
    <s v="D"/>
    <n v="90"/>
    <s v="P"/>
    <n v="70"/>
    <s v="P"/>
    <n v="70"/>
    <s v="P"/>
    <n v="70"/>
    <s v="M"/>
    <n v="80"/>
    <n v="8"/>
    <n v="8"/>
    <n v="2"/>
    <n v="1300"/>
    <s v="MPP"/>
    <n v="160"/>
    <n v="160"/>
    <s v="Same"/>
  </r>
  <r>
    <x v="1"/>
    <n v="9433544"/>
    <s v="Coyle"/>
    <s v="Janae"/>
    <x v="0"/>
    <d v="1990-04-27T00:00:00"/>
    <s v="DDD"/>
    <s v="P"/>
    <n v="70"/>
    <s v="P"/>
    <n v="70"/>
    <s v="M"/>
    <n v="80"/>
    <s v="P"/>
    <n v="70"/>
    <s v="M"/>
    <n v="80"/>
    <s v="M"/>
    <n v="80"/>
    <s v="M"/>
    <n v="80"/>
    <s v="D"/>
    <n v="70"/>
    <s v="P"/>
    <n v="70"/>
    <n v="670"/>
    <s v="MMP"/>
    <s v="D"/>
    <n v="90"/>
    <s v="P"/>
    <n v="70"/>
    <s v="D"/>
    <n v="90"/>
    <s v="P"/>
    <n v="70"/>
    <s v="P"/>
    <n v="70"/>
    <s v="P"/>
    <n v="70"/>
    <s v="D"/>
    <n v="90"/>
    <s v="M"/>
    <n v="80"/>
    <s v="D"/>
    <n v="90"/>
    <n v="8"/>
    <n v="5"/>
    <n v="5"/>
    <n v="1300"/>
    <s v="MPP"/>
    <n v="160"/>
    <n v="360"/>
    <s v="Under"/>
  </r>
  <r>
    <x v="2"/>
    <n v="5516713"/>
    <s v="Cunningham"/>
    <s v="Sky"/>
    <x v="0"/>
    <d v="1992-09-14T00:00:00"/>
    <s v="MMM"/>
    <s v="M"/>
    <n v="80"/>
    <s v="P"/>
    <n v="70"/>
    <s v="P"/>
    <n v="70"/>
    <s v="D"/>
    <n v="90"/>
    <s v="D"/>
    <n v="90"/>
    <s v="P"/>
    <n v="70"/>
    <s v="P"/>
    <n v="70"/>
    <s v="D"/>
    <n v="80"/>
    <s v="P"/>
    <n v="70"/>
    <n v="690"/>
    <s v="MMM"/>
    <s v="P"/>
    <n v="70"/>
    <s v="P"/>
    <n v="70"/>
    <s v="P"/>
    <n v="70"/>
    <s v="D"/>
    <n v="90"/>
    <s v="M"/>
    <n v="80"/>
    <s v="M"/>
    <n v="80"/>
    <s v="P"/>
    <n v="70"/>
    <s v="D"/>
    <n v="90"/>
    <s v="P"/>
    <n v="70"/>
    <n v="10"/>
    <n v="3"/>
    <n v="5"/>
    <n v="1310"/>
    <s v="MPP"/>
    <n v="160"/>
    <n v="240"/>
    <s v="Under"/>
  </r>
  <r>
    <x v="0"/>
    <n v="9505809"/>
    <s v="Kerr"/>
    <s v="Kaia"/>
    <x v="0"/>
    <d v="1990-06-30T00:00:00"/>
    <s v="MPP"/>
    <s v="D"/>
    <n v="90"/>
    <s v="P"/>
    <n v="70"/>
    <s v="P"/>
    <n v="70"/>
    <s v="P"/>
    <n v="70"/>
    <s v="P"/>
    <n v="70"/>
    <s v="M"/>
    <n v="80"/>
    <s v="M"/>
    <n v="80"/>
    <s v="M"/>
    <n v="90"/>
    <s v="P"/>
    <n v="70"/>
    <n v="690"/>
    <s v="MMM"/>
    <s v="P"/>
    <n v="70"/>
    <s v="M"/>
    <n v="80"/>
    <s v="M"/>
    <n v="80"/>
    <s v="M"/>
    <n v="80"/>
    <s v="M"/>
    <n v="80"/>
    <s v="M"/>
    <n v="80"/>
    <s v="M"/>
    <n v="80"/>
    <s v="P"/>
    <n v="70"/>
    <s v="M"/>
    <n v="80"/>
    <n v="7"/>
    <n v="10"/>
    <n v="1"/>
    <n v="1310"/>
    <s v="MPP"/>
    <n v="160"/>
    <n v="160"/>
    <s v="Same"/>
  </r>
  <r>
    <x v="0"/>
    <n v="6010520"/>
    <s v="Todd"/>
    <s v="Kennedi"/>
    <x v="0"/>
    <d v="1990-04-26T00:00:00"/>
    <s v="PPP"/>
    <s v="P"/>
    <n v="70"/>
    <s v="P"/>
    <n v="70"/>
    <s v="M"/>
    <n v="80"/>
    <s v="D"/>
    <n v="90"/>
    <s v="M"/>
    <n v="80"/>
    <s v="P"/>
    <n v="70"/>
    <s v="D"/>
    <n v="90"/>
    <s v="P"/>
    <n v="70"/>
    <s v="D"/>
    <n v="90"/>
    <n v="710"/>
    <s v="DMM"/>
    <s v="M"/>
    <n v="80"/>
    <s v="P"/>
    <n v="70"/>
    <s v="M"/>
    <n v="80"/>
    <s v="M"/>
    <n v="80"/>
    <s v="P"/>
    <n v="70"/>
    <s v="P"/>
    <n v="70"/>
    <s v="M"/>
    <n v="80"/>
    <s v="P"/>
    <n v="70"/>
    <s v="M"/>
    <n v="80"/>
    <n v="8"/>
    <n v="7"/>
    <n v="3"/>
    <n v="1310"/>
    <s v="MPP"/>
    <n v="160"/>
    <n v="120"/>
    <s v="Over"/>
  </r>
  <r>
    <x v="1"/>
    <n v="6427161"/>
    <s v="Daley"/>
    <s v="Diana"/>
    <x v="0"/>
    <d v="1992-02-16T00:00:00"/>
    <s v="PPP"/>
    <s v="P"/>
    <n v="70"/>
    <s v="D"/>
    <n v="90"/>
    <s v="M"/>
    <n v="80"/>
    <s v="M"/>
    <n v="80"/>
    <s v="P"/>
    <n v="70"/>
    <s v="P"/>
    <n v="70"/>
    <s v="P"/>
    <n v="70"/>
    <s v="D"/>
    <n v="70"/>
    <s v="D"/>
    <n v="90"/>
    <n v="690"/>
    <s v="MMM"/>
    <s v="D"/>
    <n v="90"/>
    <s v="M"/>
    <n v="80"/>
    <s v="D"/>
    <n v="90"/>
    <s v="M"/>
    <n v="80"/>
    <s v="P"/>
    <n v="70"/>
    <s v="P"/>
    <n v="70"/>
    <s v="P"/>
    <n v="70"/>
    <s v="P"/>
    <n v="70"/>
    <s v="P"/>
    <n v="70"/>
    <n v="9"/>
    <n v="4"/>
    <n v="5"/>
    <n v="1310"/>
    <s v="MPP"/>
    <n v="160"/>
    <n v="120"/>
    <s v="Over"/>
  </r>
  <r>
    <x v="3"/>
    <n v="6179448"/>
    <s v="Maher"/>
    <s v="Daphne"/>
    <x v="0"/>
    <d v="1993-06-22T00:00:00"/>
    <s v="MMM"/>
    <s v="M"/>
    <n v="80"/>
    <s v="M"/>
    <n v="80"/>
    <s v="M"/>
    <n v="80"/>
    <s v="P"/>
    <n v="70"/>
    <s v="P"/>
    <n v="70"/>
    <s v="P"/>
    <n v="70"/>
    <s v="D"/>
    <n v="90"/>
    <s v="D"/>
    <n v="80"/>
    <s v="P"/>
    <n v="70"/>
    <n v="690"/>
    <s v="MMM"/>
    <s v="P"/>
    <n v="70"/>
    <s v="D"/>
    <n v="90"/>
    <s v="M"/>
    <n v="80"/>
    <s v="M"/>
    <n v="80"/>
    <s v="P"/>
    <n v="70"/>
    <s v="M"/>
    <n v="80"/>
    <s v="D"/>
    <n v="90"/>
    <s v="P"/>
    <n v="70"/>
    <s v="M"/>
    <n v="80"/>
    <n v="7"/>
    <n v="7"/>
    <n v="4"/>
    <n v="1320"/>
    <s v="MPP"/>
    <n v="160"/>
    <n v="240"/>
    <s v="Under"/>
  </r>
  <r>
    <x v="2"/>
    <n v="9816746"/>
    <s v="Putnam"/>
    <s v="Katerina"/>
    <x v="0"/>
    <d v="1992-04-06T00:00:00"/>
    <s v="DDD"/>
    <s v="M"/>
    <n v="80"/>
    <s v="P"/>
    <n v="70"/>
    <s v="M"/>
    <n v="80"/>
    <s v="P"/>
    <n v="70"/>
    <s v="M"/>
    <n v="80"/>
    <s v="P"/>
    <n v="70"/>
    <s v="M"/>
    <n v="80"/>
    <s v="D"/>
    <n v="80"/>
    <s v="P"/>
    <n v="70"/>
    <n v="680"/>
    <s v="MMP"/>
    <s v="M"/>
    <n v="80"/>
    <s v="D"/>
    <n v="90"/>
    <s v="M"/>
    <n v="80"/>
    <s v="D"/>
    <n v="90"/>
    <s v="M"/>
    <n v="80"/>
    <s v="P"/>
    <n v="70"/>
    <s v="P"/>
    <n v="70"/>
    <s v="D"/>
    <n v="90"/>
    <s v="P"/>
    <n v="70"/>
    <n v="7"/>
    <n v="7"/>
    <n v="4"/>
    <n v="1330"/>
    <s v="MPP"/>
    <n v="160"/>
    <n v="360"/>
    <s v="Under"/>
  </r>
  <r>
    <x v="1"/>
    <n v="9117601"/>
    <s v="Fischer"/>
    <s v="Victoria"/>
    <x v="0"/>
    <d v="1993-01-27T00:00:00"/>
    <s v="PPP"/>
    <s v="M"/>
    <n v="80"/>
    <s v="M"/>
    <n v="80"/>
    <s v="M"/>
    <n v="80"/>
    <s v="M"/>
    <n v="80"/>
    <s v="P"/>
    <n v="70"/>
    <s v="M"/>
    <n v="80"/>
    <s v="M"/>
    <n v="80"/>
    <s v="M"/>
    <n v="80"/>
    <s v="M"/>
    <n v="80"/>
    <n v="710"/>
    <s v="DMM"/>
    <s v="M"/>
    <n v="80"/>
    <s v="M"/>
    <n v="80"/>
    <s v="P"/>
    <n v="70"/>
    <s v="M"/>
    <n v="80"/>
    <s v="M"/>
    <n v="80"/>
    <s v="P"/>
    <n v="70"/>
    <s v="M"/>
    <n v="80"/>
    <s v="M"/>
    <n v="80"/>
    <s v="D"/>
    <n v="90"/>
    <n v="3"/>
    <n v="14"/>
    <n v="1"/>
    <n v="1330"/>
    <s v="MPP"/>
    <n v="160"/>
    <n v="120"/>
    <s v="Over"/>
  </r>
  <r>
    <x v="3"/>
    <n v="8782729"/>
    <s v="Bennett"/>
    <s v="Annika"/>
    <x v="0"/>
    <d v="1993-02-14T00:00:00"/>
    <s v="PPP"/>
    <s v="M"/>
    <n v="80"/>
    <s v="P"/>
    <n v="70"/>
    <s v="D"/>
    <n v="90"/>
    <s v="M"/>
    <n v="80"/>
    <s v="P"/>
    <n v="70"/>
    <s v="P"/>
    <n v="70"/>
    <s v="D"/>
    <n v="90"/>
    <s v="D"/>
    <n v="80"/>
    <s v="P"/>
    <n v="70"/>
    <n v="700"/>
    <s v="MMM"/>
    <s v="D"/>
    <n v="90"/>
    <s v="P"/>
    <n v="70"/>
    <s v="D"/>
    <n v="90"/>
    <s v="P"/>
    <n v="70"/>
    <s v="M"/>
    <n v="80"/>
    <s v="P"/>
    <n v="70"/>
    <s v="M"/>
    <n v="80"/>
    <s v="M"/>
    <n v="80"/>
    <s v="M"/>
    <n v="80"/>
    <n v="7"/>
    <n v="6"/>
    <n v="5"/>
    <n v="1330"/>
    <s v="MPP"/>
    <n v="160"/>
    <n v="120"/>
    <s v="Over"/>
  </r>
  <r>
    <x v="3"/>
    <n v="8425437"/>
    <s v="Fitzsimmons"/>
    <s v="Bailee"/>
    <x v="0"/>
    <d v="1991-09-29T00:00:00"/>
    <s v="MMP"/>
    <s v="M"/>
    <n v="80"/>
    <s v="M"/>
    <n v="80"/>
    <s v="P"/>
    <n v="70"/>
    <s v="M"/>
    <n v="80"/>
    <s v="P"/>
    <n v="70"/>
    <s v="M"/>
    <n v="80"/>
    <s v="P"/>
    <n v="70"/>
    <s v="P"/>
    <n v="80"/>
    <s v="D"/>
    <n v="90"/>
    <n v="700"/>
    <s v="MMM"/>
    <s v="D"/>
    <n v="90"/>
    <s v="P"/>
    <n v="70"/>
    <s v="D"/>
    <n v="90"/>
    <s v="P"/>
    <n v="70"/>
    <s v="P"/>
    <n v="70"/>
    <s v="D"/>
    <n v="90"/>
    <s v="M"/>
    <n v="80"/>
    <s v="P"/>
    <n v="70"/>
    <s v="D"/>
    <n v="90"/>
    <n v="8"/>
    <n v="5"/>
    <n v="5"/>
    <n v="1330"/>
    <s v="MPP"/>
    <n v="160"/>
    <n v="200"/>
    <s v="Under"/>
  </r>
  <r>
    <x v="2"/>
    <n v="6412458"/>
    <s v="Akram"/>
    <s v="Meagan"/>
    <x v="0"/>
    <d v="1992-08-18T00:00:00"/>
    <s v="MMM"/>
    <s v="M"/>
    <n v="80"/>
    <s v="M"/>
    <n v="80"/>
    <s v="P"/>
    <n v="70"/>
    <s v="P"/>
    <n v="70"/>
    <s v="M"/>
    <n v="80"/>
    <s v="M"/>
    <n v="80"/>
    <s v="M"/>
    <n v="80"/>
    <s v="M"/>
    <n v="80"/>
    <s v="M"/>
    <n v="80"/>
    <n v="700"/>
    <s v="MMM"/>
    <s v="D"/>
    <n v="90"/>
    <s v="D"/>
    <n v="90"/>
    <s v="P"/>
    <n v="70"/>
    <s v="D"/>
    <n v="90"/>
    <s v="D"/>
    <n v="90"/>
    <s v="P"/>
    <n v="70"/>
    <s v="P"/>
    <n v="70"/>
    <s v="P"/>
    <n v="70"/>
    <s v="M"/>
    <n v="80"/>
    <n v="6"/>
    <n v="8"/>
    <n v="4"/>
    <n v="1340"/>
    <s v="MMP"/>
    <n v="200"/>
    <n v="240"/>
    <s v="Under"/>
  </r>
  <r>
    <x v="2"/>
    <n v="8295409"/>
    <s v="Glass"/>
    <s v="Karla"/>
    <x v="0"/>
    <d v="1992-03-20T00:00:00"/>
    <s v="DDD"/>
    <s v="P"/>
    <n v="70"/>
    <s v="M"/>
    <n v="80"/>
    <s v="M"/>
    <n v="80"/>
    <s v="M"/>
    <n v="80"/>
    <s v="P"/>
    <n v="70"/>
    <s v="P"/>
    <n v="70"/>
    <s v="M"/>
    <n v="80"/>
    <s v="P"/>
    <n v="70"/>
    <s v="D"/>
    <n v="90"/>
    <n v="690"/>
    <s v="MMM"/>
    <s v="P"/>
    <n v="70"/>
    <s v="M"/>
    <n v="80"/>
    <s v="D"/>
    <n v="90"/>
    <s v="P"/>
    <n v="70"/>
    <s v="D"/>
    <n v="90"/>
    <s v="D"/>
    <n v="90"/>
    <s v="M"/>
    <n v="80"/>
    <s v="M"/>
    <n v="80"/>
    <s v="D"/>
    <n v="90"/>
    <n v="6"/>
    <n v="7"/>
    <n v="5"/>
    <n v="1340"/>
    <s v="MMP"/>
    <n v="200"/>
    <n v="360"/>
    <s v="Under"/>
  </r>
  <r>
    <x v="0"/>
    <n v="7508125"/>
    <s v="Blair"/>
    <s v="Liberty"/>
    <x v="0"/>
    <d v="1993-07-27T00:00:00"/>
    <s v="MMP"/>
    <s v="P"/>
    <n v="70"/>
    <s v="M"/>
    <n v="80"/>
    <s v="D"/>
    <n v="90"/>
    <s v="P"/>
    <n v="70"/>
    <s v="P"/>
    <n v="70"/>
    <s v="D"/>
    <n v="90"/>
    <s v="P"/>
    <n v="70"/>
    <s v="P"/>
    <n v="70"/>
    <s v="M"/>
    <n v="80"/>
    <n v="690"/>
    <s v="MMM"/>
    <s v="M"/>
    <n v="80"/>
    <s v="M"/>
    <n v="80"/>
    <s v="M"/>
    <n v="80"/>
    <s v="D"/>
    <n v="90"/>
    <s v="P"/>
    <n v="70"/>
    <s v="D"/>
    <n v="90"/>
    <s v="M"/>
    <n v="80"/>
    <s v="M"/>
    <n v="80"/>
    <s v="P"/>
    <n v="70"/>
    <n v="7"/>
    <n v="7"/>
    <n v="4"/>
    <n v="1340"/>
    <s v="MMP"/>
    <n v="200"/>
    <n v="200"/>
    <s v="Same"/>
  </r>
  <r>
    <x v="0"/>
    <n v="6783822"/>
    <s v="Middleton"/>
    <s v="Daisy"/>
    <x v="0"/>
    <d v="1992-09-14T00:00:00"/>
    <s v="MMM"/>
    <s v="P"/>
    <n v="70"/>
    <s v="P"/>
    <n v="70"/>
    <s v="M"/>
    <n v="80"/>
    <s v="D"/>
    <n v="90"/>
    <s v="D"/>
    <n v="90"/>
    <s v="M"/>
    <n v="80"/>
    <s v="M"/>
    <n v="80"/>
    <s v="P"/>
    <n v="70"/>
    <s v="D"/>
    <n v="90"/>
    <n v="720"/>
    <s v="DMM"/>
    <s v="M"/>
    <n v="80"/>
    <s v="M"/>
    <n v="80"/>
    <s v="M"/>
    <n v="80"/>
    <s v="D"/>
    <n v="90"/>
    <s v="M"/>
    <n v="80"/>
    <s v="P"/>
    <n v="70"/>
    <s v="P"/>
    <n v="70"/>
    <s v="P"/>
    <n v="70"/>
    <s v="D"/>
    <n v="90"/>
    <n v="6"/>
    <n v="7"/>
    <n v="5"/>
    <n v="1340"/>
    <s v="MMP"/>
    <n v="200"/>
    <n v="240"/>
    <s v="Under"/>
  </r>
  <r>
    <x v="3"/>
    <n v="8789583"/>
    <s v="Reese"/>
    <s v="Kiara"/>
    <x v="0"/>
    <d v="1993-07-08T00:00:00"/>
    <s v="MMM"/>
    <s v="M"/>
    <n v="80"/>
    <s v="M"/>
    <n v="80"/>
    <s v="D"/>
    <n v="90"/>
    <s v="P"/>
    <n v="70"/>
    <s v="M"/>
    <n v="80"/>
    <s v="P"/>
    <n v="70"/>
    <s v="P"/>
    <n v="70"/>
    <s v="M"/>
    <n v="80"/>
    <s v="D"/>
    <n v="90"/>
    <n v="710"/>
    <s v="DMM"/>
    <s v="P"/>
    <n v="70"/>
    <s v="M"/>
    <n v="80"/>
    <s v="P"/>
    <n v="70"/>
    <s v="M"/>
    <n v="80"/>
    <s v="D"/>
    <n v="90"/>
    <s v="D"/>
    <n v="90"/>
    <s v="P"/>
    <n v="70"/>
    <s v="M"/>
    <n v="80"/>
    <s v="D"/>
    <n v="90"/>
    <n v="6"/>
    <n v="7"/>
    <n v="5"/>
    <n v="1340"/>
    <s v="MMP"/>
    <n v="200"/>
    <n v="240"/>
    <s v="Under"/>
  </r>
  <r>
    <x v="3"/>
    <n v="9193924"/>
    <s v="Saleem"/>
    <s v="Aurora"/>
    <x v="0"/>
    <d v="1992-05-08T00:00:00"/>
    <s v="PPP"/>
    <s v="D"/>
    <n v="90"/>
    <s v="P"/>
    <n v="70"/>
    <s v="M"/>
    <n v="80"/>
    <s v="P"/>
    <n v="70"/>
    <s v="P"/>
    <n v="70"/>
    <s v="P"/>
    <n v="70"/>
    <s v="D"/>
    <n v="90"/>
    <s v="D"/>
    <n v="90"/>
    <s v="D"/>
    <n v="90"/>
    <n v="720"/>
    <s v="DMM"/>
    <s v="P"/>
    <n v="70"/>
    <s v="P"/>
    <n v="70"/>
    <s v="D"/>
    <n v="90"/>
    <s v="P"/>
    <n v="70"/>
    <s v="P"/>
    <n v="70"/>
    <s v="D"/>
    <n v="90"/>
    <s v="P"/>
    <n v="70"/>
    <s v="D"/>
    <n v="90"/>
    <s v="D"/>
    <n v="90"/>
    <n v="9"/>
    <n v="1"/>
    <n v="8"/>
    <n v="1340"/>
    <s v="MMP"/>
    <n v="200"/>
    <n v="120"/>
    <s v="Over"/>
  </r>
  <r>
    <x v="1"/>
    <n v="9896579"/>
    <s v="Steele"/>
    <s v="Andrea"/>
    <x v="0"/>
    <d v="1990-03-06T00:00:00"/>
    <s v="DMM"/>
    <s v="M"/>
    <n v="80"/>
    <s v="P"/>
    <n v="70"/>
    <s v="P"/>
    <n v="70"/>
    <s v="D"/>
    <n v="90"/>
    <s v="D"/>
    <n v="90"/>
    <s v="P"/>
    <n v="70"/>
    <s v="D"/>
    <n v="90"/>
    <s v="M"/>
    <n v="80"/>
    <s v="M"/>
    <n v="80"/>
    <n v="720"/>
    <s v="DMM"/>
    <s v="M"/>
    <n v="80"/>
    <s v="M"/>
    <n v="80"/>
    <s v="D"/>
    <n v="90"/>
    <s v="P"/>
    <n v="70"/>
    <s v="D"/>
    <n v="90"/>
    <s v="P"/>
    <n v="70"/>
    <s v="M"/>
    <n v="80"/>
    <s v="P"/>
    <n v="70"/>
    <s v="M"/>
    <n v="80"/>
    <n v="6"/>
    <n v="7"/>
    <n v="5"/>
    <n v="1350"/>
    <s v="MMP"/>
    <n v="200"/>
    <n v="280"/>
    <s v="Under"/>
  </r>
  <r>
    <x v="2"/>
    <n v="6208990"/>
    <s v="O'Grady"/>
    <s v="Karly"/>
    <x v="0"/>
    <d v="1990-05-25T00:00:00"/>
    <s v="MMP"/>
    <s v="M"/>
    <n v="80"/>
    <s v="M"/>
    <n v="80"/>
    <s v="M"/>
    <n v="80"/>
    <s v="M"/>
    <n v="80"/>
    <s v="D"/>
    <n v="90"/>
    <s v="P"/>
    <n v="70"/>
    <s v="D"/>
    <n v="90"/>
    <s v="M"/>
    <n v="80"/>
    <s v="M"/>
    <n v="80"/>
    <n v="730"/>
    <s v="DDM"/>
    <s v="M"/>
    <n v="80"/>
    <s v="D"/>
    <n v="90"/>
    <s v="M"/>
    <n v="80"/>
    <s v="P"/>
    <n v="70"/>
    <s v="P"/>
    <n v="70"/>
    <s v="M"/>
    <n v="80"/>
    <s v="M"/>
    <n v="80"/>
    <s v="M"/>
    <n v="80"/>
    <s v="P"/>
    <n v="70"/>
    <n v="4"/>
    <n v="11"/>
    <n v="3"/>
    <n v="1360"/>
    <s v="MMP"/>
    <n v="200"/>
    <n v="200"/>
    <s v="Same"/>
  </r>
  <r>
    <x v="1"/>
    <n v="8276555"/>
    <s v="Cox"/>
    <s v="Emilee"/>
    <x v="0"/>
    <d v="1992-05-23T00:00:00"/>
    <s v="DDM"/>
    <s v="D"/>
    <n v="90"/>
    <s v="D"/>
    <n v="90"/>
    <s v="P"/>
    <n v="70"/>
    <s v="P"/>
    <n v="70"/>
    <s v="M"/>
    <n v="80"/>
    <s v="D"/>
    <n v="90"/>
    <s v="M"/>
    <n v="80"/>
    <s v="D"/>
    <n v="90"/>
    <s v="P"/>
    <n v="70"/>
    <n v="730"/>
    <s v="DDM"/>
    <s v="P"/>
    <n v="70"/>
    <s v="D"/>
    <n v="90"/>
    <s v="D"/>
    <n v="90"/>
    <s v="M"/>
    <n v="80"/>
    <s v="P"/>
    <n v="70"/>
    <s v="P"/>
    <n v="70"/>
    <s v="P"/>
    <n v="70"/>
    <s v="D"/>
    <n v="90"/>
    <s v="M"/>
    <n v="80"/>
    <n v="7"/>
    <n v="4"/>
    <n v="7"/>
    <n v="1360"/>
    <s v="MMP"/>
    <n v="200"/>
    <n v="320"/>
    <s v="Under"/>
  </r>
  <r>
    <x v="1"/>
    <n v="9218827"/>
    <s v="Myers"/>
    <s v="Halie"/>
    <x v="0"/>
    <d v="1991-03-25T00:00:00"/>
    <s v="DDD"/>
    <s v="M"/>
    <n v="80"/>
    <s v="P"/>
    <n v="70"/>
    <s v="M"/>
    <n v="80"/>
    <s v="M"/>
    <n v="80"/>
    <s v="D"/>
    <n v="90"/>
    <s v="D"/>
    <n v="90"/>
    <s v="M"/>
    <n v="80"/>
    <s v="P"/>
    <n v="80"/>
    <s v="M"/>
    <n v="80"/>
    <n v="730"/>
    <s v="DDM"/>
    <s v="M"/>
    <n v="80"/>
    <s v="M"/>
    <n v="80"/>
    <s v="M"/>
    <n v="80"/>
    <s v="P"/>
    <n v="70"/>
    <s v="D"/>
    <n v="90"/>
    <s v="M"/>
    <n v="80"/>
    <s v="M"/>
    <n v="80"/>
    <s v="P"/>
    <n v="70"/>
    <s v="M"/>
    <n v="80"/>
    <n v="4"/>
    <n v="11"/>
    <n v="3"/>
    <n v="1360"/>
    <s v="MMP"/>
    <n v="200"/>
    <n v="360"/>
    <s v="Under"/>
  </r>
  <r>
    <x v="3"/>
    <n v="6411698"/>
    <s v="Wells"/>
    <s v="Sandy"/>
    <x v="0"/>
    <d v="1990-02-09T00:00:00"/>
    <s v="MMM"/>
    <s v="M"/>
    <n v="80"/>
    <s v="M"/>
    <n v="80"/>
    <s v="D"/>
    <n v="90"/>
    <s v="P"/>
    <n v="70"/>
    <s v="M"/>
    <n v="80"/>
    <s v="P"/>
    <n v="70"/>
    <s v="D"/>
    <n v="90"/>
    <s v="P"/>
    <n v="80"/>
    <s v="P"/>
    <n v="70"/>
    <n v="710"/>
    <s v="DMM"/>
    <s v="P"/>
    <n v="70"/>
    <s v="D"/>
    <n v="90"/>
    <s v="D"/>
    <n v="90"/>
    <s v="P"/>
    <n v="70"/>
    <s v="P"/>
    <n v="70"/>
    <s v="D"/>
    <n v="90"/>
    <s v="D"/>
    <n v="90"/>
    <s v="M"/>
    <n v="80"/>
    <s v="M"/>
    <n v="80"/>
    <n v="7"/>
    <n v="5"/>
    <n v="6"/>
    <n v="1360"/>
    <s v="MMP"/>
    <n v="200"/>
    <n v="240"/>
    <s v="Under"/>
  </r>
  <r>
    <x v="2"/>
    <n v="5373433"/>
    <s v="Fisher"/>
    <s v="Alina"/>
    <x v="0"/>
    <d v="1990-08-29T00:00:00"/>
    <s v="DDD"/>
    <s v="D"/>
    <n v="90"/>
    <s v="M"/>
    <n v="80"/>
    <s v="M"/>
    <n v="80"/>
    <s v="P"/>
    <n v="70"/>
    <s v="D"/>
    <n v="90"/>
    <s v="P"/>
    <n v="70"/>
    <s v="M"/>
    <n v="80"/>
    <s v="M"/>
    <n v="90"/>
    <s v="M"/>
    <n v="80"/>
    <n v="730"/>
    <s v="DDM"/>
    <s v="P"/>
    <n v="70"/>
    <s v="M"/>
    <n v="80"/>
    <s v="D"/>
    <n v="90"/>
    <s v="P"/>
    <n v="70"/>
    <s v="D"/>
    <n v="90"/>
    <s v="M"/>
    <n v="80"/>
    <s v="M"/>
    <n v="80"/>
    <s v="M"/>
    <n v="80"/>
    <s v="D"/>
    <n v="90"/>
    <n v="4"/>
    <n v="9"/>
    <n v="5"/>
    <n v="1370"/>
    <s v="MMP"/>
    <n v="200"/>
    <n v="360"/>
    <s v="Under"/>
  </r>
  <r>
    <x v="2"/>
    <n v="9481241"/>
    <s v="Harrison"/>
    <s v="Alize"/>
    <x v="0"/>
    <d v="1991-03-02T00:00:00"/>
    <s v="PPP"/>
    <s v="M"/>
    <n v="80"/>
    <s v="M"/>
    <n v="80"/>
    <s v="P"/>
    <n v="70"/>
    <s v="D"/>
    <n v="90"/>
    <s v="P"/>
    <n v="70"/>
    <s v="P"/>
    <n v="70"/>
    <s v="M"/>
    <n v="80"/>
    <s v="M"/>
    <n v="80"/>
    <s v="D"/>
    <n v="90"/>
    <n v="710"/>
    <s v="DMM"/>
    <s v="M"/>
    <n v="80"/>
    <s v="P"/>
    <n v="70"/>
    <s v="D"/>
    <n v="90"/>
    <s v="M"/>
    <n v="80"/>
    <s v="D"/>
    <n v="90"/>
    <s v="D"/>
    <n v="90"/>
    <s v="M"/>
    <n v="80"/>
    <s v="M"/>
    <n v="80"/>
    <s v="P"/>
    <n v="70"/>
    <n v="5"/>
    <n v="8"/>
    <n v="5"/>
    <n v="1370"/>
    <s v="MMP"/>
    <n v="200"/>
    <n v="120"/>
    <s v="Over"/>
  </r>
  <r>
    <x v="0"/>
    <n v="5537927"/>
    <s v="Humphrey"/>
    <s v="Anjali"/>
    <x v="0"/>
    <d v="1991-10-09T00:00:00"/>
    <s v="DDM"/>
    <s v="M"/>
    <n v="80"/>
    <s v="D"/>
    <n v="90"/>
    <s v="D"/>
    <n v="90"/>
    <s v="D"/>
    <n v="90"/>
    <s v="P"/>
    <n v="70"/>
    <s v="P"/>
    <n v="70"/>
    <s v="M"/>
    <n v="80"/>
    <s v="D"/>
    <n v="80"/>
    <s v="P"/>
    <n v="70"/>
    <n v="720"/>
    <s v="DMM"/>
    <s v="M"/>
    <n v="80"/>
    <s v="D"/>
    <n v="90"/>
    <s v="D"/>
    <n v="90"/>
    <s v="D"/>
    <n v="90"/>
    <s v="M"/>
    <n v="80"/>
    <s v="P"/>
    <n v="70"/>
    <s v="M"/>
    <n v="80"/>
    <s v="P"/>
    <n v="70"/>
    <s v="D"/>
    <n v="90"/>
    <n v="5"/>
    <n v="5"/>
    <n v="8"/>
    <n v="1370"/>
    <s v="MMP"/>
    <n v="200"/>
    <n v="320"/>
    <s v="Under"/>
  </r>
  <r>
    <x v="1"/>
    <n v="5081252"/>
    <s v="Ayers"/>
    <s v="Tianna"/>
    <x v="0"/>
    <d v="1992-09-26T00:00:00"/>
    <s v="DDD"/>
    <s v="D"/>
    <n v="90"/>
    <s v="D"/>
    <n v="90"/>
    <s v="P"/>
    <n v="70"/>
    <s v="M"/>
    <n v="80"/>
    <s v="D"/>
    <n v="90"/>
    <s v="P"/>
    <n v="70"/>
    <s v="M"/>
    <n v="80"/>
    <s v="M"/>
    <n v="90"/>
    <s v="P"/>
    <n v="70"/>
    <n v="730"/>
    <s v="DDM"/>
    <s v="D"/>
    <n v="90"/>
    <s v="M"/>
    <n v="80"/>
    <s v="P"/>
    <n v="70"/>
    <s v="D"/>
    <n v="90"/>
    <s v="D"/>
    <n v="90"/>
    <s v="P"/>
    <n v="70"/>
    <s v="P"/>
    <n v="70"/>
    <s v="M"/>
    <n v="80"/>
    <s v="P"/>
    <n v="70"/>
    <n v="7"/>
    <n v="5"/>
    <n v="6"/>
    <n v="1370"/>
    <s v="MMP"/>
    <n v="200"/>
    <n v="360"/>
    <s v="Under"/>
  </r>
  <r>
    <x v="3"/>
    <n v="5390328"/>
    <s v="Church"/>
    <s v="Halie"/>
    <x v="0"/>
    <d v="1992-03-08T00:00:00"/>
    <s v="MPP"/>
    <s v="D"/>
    <n v="90"/>
    <s v="M"/>
    <n v="80"/>
    <s v="D"/>
    <n v="90"/>
    <s v="P"/>
    <n v="70"/>
    <s v="D"/>
    <n v="90"/>
    <s v="P"/>
    <n v="70"/>
    <s v="M"/>
    <n v="80"/>
    <s v="P"/>
    <n v="90"/>
    <s v="M"/>
    <n v="80"/>
    <n v="740"/>
    <s v="DDM"/>
    <s v="D"/>
    <n v="90"/>
    <s v="P"/>
    <n v="70"/>
    <s v="P"/>
    <n v="70"/>
    <s v="M"/>
    <n v="80"/>
    <s v="P"/>
    <n v="70"/>
    <s v="M"/>
    <n v="80"/>
    <s v="D"/>
    <n v="90"/>
    <s v="M"/>
    <n v="80"/>
    <s v="P"/>
    <n v="70"/>
    <n v="7"/>
    <n v="6"/>
    <n v="5"/>
    <n v="1370"/>
    <s v="MMP"/>
    <n v="200"/>
    <n v="160"/>
    <s v="Over"/>
  </r>
  <r>
    <x v="3"/>
    <n v="8224504"/>
    <s v="MacKay"/>
    <s v="Kyla"/>
    <x v="0"/>
    <d v="1990-05-23T00:00:00"/>
    <s v="MMP"/>
    <s v="D"/>
    <n v="90"/>
    <s v="M"/>
    <n v="80"/>
    <s v="M"/>
    <n v="80"/>
    <s v="P"/>
    <n v="70"/>
    <s v="P"/>
    <n v="70"/>
    <s v="M"/>
    <n v="80"/>
    <s v="M"/>
    <n v="80"/>
    <s v="M"/>
    <n v="90"/>
    <s v="D"/>
    <n v="90"/>
    <n v="730"/>
    <s v="DDM"/>
    <s v="P"/>
    <n v="70"/>
    <s v="P"/>
    <n v="70"/>
    <s v="D"/>
    <n v="90"/>
    <s v="D"/>
    <n v="90"/>
    <s v="P"/>
    <n v="70"/>
    <s v="M"/>
    <n v="80"/>
    <s v="D"/>
    <n v="90"/>
    <s v="M"/>
    <n v="80"/>
    <s v="P"/>
    <n v="70"/>
    <n v="6"/>
    <n v="7"/>
    <n v="5"/>
    <n v="1370"/>
    <s v="MMP"/>
    <n v="200"/>
    <n v="200"/>
    <s v="Same"/>
  </r>
  <r>
    <x v="0"/>
    <n v="8716726"/>
    <s v="Grantham"/>
    <s v="Leanna"/>
    <x v="0"/>
    <d v="1992-10-14T00:00:00"/>
    <s v="MMP"/>
    <s v="M"/>
    <n v="80"/>
    <s v="M"/>
    <n v="80"/>
    <s v="D"/>
    <n v="90"/>
    <s v="D"/>
    <n v="90"/>
    <s v="D"/>
    <n v="90"/>
    <s v="P"/>
    <n v="70"/>
    <s v="D"/>
    <n v="90"/>
    <s v="M"/>
    <n v="80"/>
    <s v="M"/>
    <n v="80"/>
    <n v="750"/>
    <s v="DDD"/>
    <s v="P"/>
    <n v="70"/>
    <s v="M"/>
    <n v="80"/>
    <s v="M"/>
    <n v="80"/>
    <s v="D"/>
    <n v="90"/>
    <s v="P"/>
    <n v="70"/>
    <s v="P"/>
    <n v="70"/>
    <s v="D"/>
    <n v="90"/>
    <s v="M"/>
    <n v="80"/>
    <s v="D"/>
    <n v="90"/>
    <n v="4"/>
    <n v="7"/>
    <n v="7"/>
    <n v="1380"/>
    <s v="MMM"/>
    <n v="240"/>
    <n v="200"/>
    <s v="Over"/>
  </r>
  <r>
    <x v="1"/>
    <n v="8722593"/>
    <s v="Hawkins"/>
    <s v="Rita"/>
    <x v="0"/>
    <d v="1990-06-12T00:00:00"/>
    <s v="MPP"/>
    <s v="D"/>
    <n v="90"/>
    <s v="D"/>
    <n v="90"/>
    <s v="M"/>
    <n v="80"/>
    <s v="M"/>
    <n v="80"/>
    <s v="D"/>
    <n v="90"/>
    <s v="M"/>
    <n v="80"/>
    <s v="M"/>
    <n v="80"/>
    <s v="M"/>
    <n v="90"/>
    <s v="D"/>
    <n v="90"/>
    <n v="770"/>
    <s v="DDD*"/>
    <s v="P"/>
    <n v="70"/>
    <s v="P"/>
    <n v="70"/>
    <s v="M"/>
    <n v="80"/>
    <s v="M"/>
    <n v="80"/>
    <s v="P"/>
    <n v="70"/>
    <s v="M"/>
    <n v="80"/>
    <s v="D"/>
    <n v="90"/>
    <s v="P"/>
    <n v="70"/>
    <s v="M"/>
    <n v="80"/>
    <n v="4"/>
    <n v="9"/>
    <n v="5"/>
    <n v="1380"/>
    <s v="MMM"/>
    <n v="240"/>
    <n v="160"/>
    <s v="Over"/>
  </r>
  <r>
    <x v="3"/>
    <n v="7425877"/>
    <s v="Barnett"/>
    <s v="Kaliyah"/>
    <x v="0"/>
    <d v="1991-11-30T00:00:00"/>
    <s v="MMM"/>
    <s v="D"/>
    <n v="90"/>
    <s v="D"/>
    <n v="90"/>
    <s v="P"/>
    <n v="70"/>
    <s v="D"/>
    <n v="90"/>
    <s v="P"/>
    <n v="70"/>
    <s v="P"/>
    <n v="70"/>
    <s v="P"/>
    <n v="70"/>
    <s v="M"/>
    <n v="90"/>
    <s v="D"/>
    <n v="90"/>
    <n v="730"/>
    <s v="DDM"/>
    <s v="D"/>
    <n v="90"/>
    <s v="P"/>
    <n v="70"/>
    <s v="D"/>
    <n v="90"/>
    <s v="M"/>
    <n v="80"/>
    <s v="P"/>
    <n v="70"/>
    <s v="M"/>
    <n v="80"/>
    <s v="M"/>
    <n v="80"/>
    <s v="D"/>
    <n v="90"/>
    <s v="D"/>
    <n v="90"/>
    <n v="6"/>
    <n v="4"/>
    <n v="8"/>
    <n v="1380"/>
    <s v="MMM"/>
    <n v="240"/>
    <n v="240"/>
    <s v="Same"/>
  </r>
  <r>
    <x v="3"/>
    <n v="7399525"/>
    <s v="Osman"/>
    <s v="Kaila"/>
    <x v="0"/>
    <d v="1991-12-15T00:00:00"/>
    <s v="DDM"/>
    <s v="P"/>
    <n v="70"/>
    <s v="D"/>
    <n v="90"/>
    <s v="P"/>
    <n v="70"/>
    <s v="D"/>
    <n v="90"/>
    <s v="M"/>
    <n v="80"/>
    <s v="M"/>
    <n v="80"/>
    <s v="D"/>
    <n v="90"/>
    <s v="P"/>
    <n v="70"/>
    <s v="M"/>
    <n v="80"/>
    <n v="720"/>
    <s v="DMM"/>
    <s v="M"/>
    <n v="80"/>
    <s v="M"/>
    <n v="80"/>
    <s v="D"/>
    <n v="90"/>
    <s v="P"/>
    <n v="70"/>
    <s v="D"/>
    <n v="90"/>
    <s v="D"/>
    <n v="90"/>
    <s v="M"/>
    <n v="80"/>
    <s v="M"/>
    <n v="80"/>
    <s v="D"/>
    <n v="90"/>
    <n v="4"/>
    <n v="7"/>
    <n v="7"/>
    <n v="1380"/>
    <s v="MMM"/>
    <n v="240"/>
    <n v="320"/>
    <s v="Under"/>
  </r>
  <r>
    <x v="0"/>
    <n v="6045373"/>
    <s v="Ashby"/>
    <s v="Nichole"/>
    <x v="0"/>
    <d v="1990-07-21T00:00:00"/>
    <s v="MMM"/>
    <s v="D"/>
    <n v="90"/>
    <s v="M"/>
    <n v="80"/>
    <s v="M"/>
    <n v="80"/>
    <s v="M"/>
    <n v="80"/>
    <s v="D"/>
    <n v="90"/>
    <s v="M"/>
    <n v="80"/>
    <s v="M"/>
    <n v="80"/>
    <s v="D"/>
    <n v="90"/>
    <s v="P"/>
    <n v="70"/>
    <n v="740"/>
    <s v="DDM"/>
    <s v="P"/>
    <n v="70"/>
    <s v="M"/>
    <n v="80"/>
    <s v="M"/>
    <n v="80"/>
    <s v="D"/>
    <n v="90"/>
    <s v="M"/>
    <n v="80"/>
    <s v="M"/>
    <n v="80"/>
    <s v="M"/>
    <n v="80"/>
    <s v="D"/>
    <n v="90"/>
    <s v="D"/>
    <n v="90"/>
    <n v="2"/>
    <n v="10"/>
    <n v="6"/>
    <n v="1390"/>
    <s v="MMM"/>
    <n v="240"/>
    <n v="240"/>
    <s v="Same"/>
  </r>
  <r>
    <x v="0"/>
    <n v="8750931"/>
    <s v="Mead"/>
    <s v="Helena"/>
    <x v="0"/>
    <d v="1993-07-15T00:00:00"/>
    <s v="DDM"/>
    <s v="P"/>
    <n v="70"/>
    <s v="D"/>
    <n v="90"/>
    <s v="D"/>
    <n v="90"/>
    <s v="M"/>
    <n v="80"/>
    <s v="D"/>
    <n v="90"/>
    <s v="D"/>
    <n v="90"/>
    <s v="D"/>
    <n v="90"/>
    <s v="P"/>
    <n v="70"/>
    <s v="D"/>
    <n v="90"/>
    <n v="760"/>
    <s v="DDD"/>
    <s v="P"/>
    <n v="70"/>
    <s v="M"/>
    <n v="80"/>
    <s v="M"/>
    <n v="80"/>
    <s v="P"/>
    <n v="70"/>
    <s v="D"/>
    <n v="90"/>
    <s v="M"/>
    <n v="80"/>
    <s v="D"/>
    <n v="90"/>
    <s v="P"/>
    <n v="70"/>
    <s v="M"/>
    <n v="80"/>
    <n v="5"/>
    <n v="5"/>
    <n v="8"/>
    <n v="1390"/>
    <s v="MMM"/>
    <n v="240"/>
    <n v="320"/>
    <s v="Under"/>
  </r>
  <r>
    <x v="1"/>
    <n v="9277422"/>
    <s v="Dawson"/>
    <s v="Mckenna"/>
    <x v="0"/>
    <d v="1990-01-20T00:00:00"/>
    <s v="DDM"/>
    <s v="M"/>
    <n v="80"/>
    <s v="P"/>
    <n v="70"/>
    <s v="D"/>
    <n v="90"/>
    <s v="D"/>
    <n v="90"/>
    <s v="D"/>
    <n v="90"/>
    <s v="P"/>
    <n v="70"/>
    <s v="D"/>
    <n v="90"/>
    <s v="P"/>
    <n v="80"/>
    <s v="P"/>
    <n v="70"/>
    <n v="730"/>
    <s v="DDM"/>
    <s v="M"/>
    <n v="80"/>
    <s v="D"/>
    <n v="90"/>
    <s v="M"/>
    <n v="80"/>
    <s v="P"/>
    <n v="70"/>
    <s v="M"/>
    <n v="80"/>
    <s v="D"/>
    <n v="90"/>
    <s v="D"/>
    <n v="90"/>
    <s v="M"/>
    <n v="80"/>
    <s v="M"/>
    <n v="80"/>
    <n v="5"/>
    <n v="6"/>
    <n v="7"/>
    <n v="1390"/>
    <s v="MMM"/>
    <n v="240"/>
    <n v="320"/>
    <s v="Under"/>
  </r>
  <r>
    <x v="1"/>
    <n v="7399578"/>
    <s v="Herndon"/>
    <s v="Christy"/>
    <x v="0"/>
    <d v="1990-04-28T00:00:00"/>
    <s v="MPP"/>
    <s v="M"/>
    <n v="80"/>
    <s v="M"/>
    <n v="80"/>
    <s v="D"/>
    <n v="90"/>
    <s v="P"/>
    <n v="70"/>
    <s v="D"/>
    <n v="90"/>
    <s v="D"/>
    <n v="90"/>
    <s v="M"/>
    <n v="80"/>
    <s v="M"/>
    <n v="80"/>
    <s v="P"/>
    <n v="70"/>
    <n v="730"/>
    <s v="DDM"/>
    <s v="P"/>
    <n v="70"/>
    <s v="M"/>
    <n v="80"/>
    <s v="M"/>
    <n v="80"/>
    <s v="D"/>
    <n v="90"/>
    <s v="M"/>
    <n v="80"/>
    <s v="D"/>
    <n v="90"/>
    <s v="M"/>
    <n v="80"/>
    <s v="D"/>
    <n v="90"/>
    <s v="M"/>
    <n v="80"/>
    <n v="3"/>
    <n v="9"/>
    <n v="6"/>
    <n v="1390"/>
    <s v="MMM"/>
    <n v="240"/>
    <n v="160"/>
    <s v="Over"/>
  </r>
  <r>
    <x v="1"/>
    <n v="9664633"/>
    <s v="Sanders"/>
    <s v="Christiana"/>
    <x v="0"/>
    <d v="1990-09-18T00:00:00"/>
    <s v="MMP"/>
    <s v="P"/>
    <n v="70"/>
    <s v="M"/>
    <n v="80"/>
    <s v="P"/>
    <n v="70"/>
    <s v="D"/>
    <n v="90"/>
    <s v="M"/>
    <n v="80"/>
    <s v="D"/>
    <n v="90"/>
    <s v="D"/>
    <n v="90"/>
    <s v="M"/>
    <n v="70"/>
    <s v="D"/>
    <n v="90"/>
    <n v="730"/>
    <s v="DDM"/>
    <s v="P"/>
    <n v="70"/>
    <s v="D"/>
    <n v="90"/>
    <s v="P"/>
    <n v="70"/>
    <s v="D"/>
    <n v="90"/>
    <s v="D"/>
    <n v="90"/>
    <s v="P"/>
    <n v="70"/>
    <s v="D"/>
    <n v="90"/>
    <s v="D"/>
    <n v="90"/>
    <s v="M"/>
    <n v="80"/>
    <n v="5"/>
    <n v="4"/>
    <n v="9"/>
    <n v="1390"/>
    <s v="MMM"/>
    <n v="240"/>
    <n v="200"/>
    <s v="Over"/>
  </r>
  <r>
    <x v="0"/>
    <n v="7926507"/>
    <s v="Thompson"/>
    <s v="Macie"/>
    <x v="0"/>
    <d v="1993-03-31T00:00:00"/>
    <s v="DDD"/>
    <s v="M"/>
    <n v="80"/>
    <s v="D"/>
    <n v="90"/>
    <s v="P"/>
    <n v="70"/>
    <s v="D"/>
    <n v="90"/>
    <s v="D"/>
    <n v="90"/>
    <s v="P"/>
    <n v="70"/>
    <s v="P"/>
    <n v="70"/>
    <s v="D"/>
    <n v="80"/>
    <s v="D"/>
    <n v="90"/>
    <n v="730"/>
    <s v="DDM"/>
    <s v="M"/>
    <n v="80"/>
    <s v="D"/>
    <n v="90"/>
    <s v="M"/>
    <n v="80"/>
    <s v="D"/>
    <n v="90"/>
    <s v="D"/>
    <n v="90"/>
    <s v="M"/>
    <n v="80"/>
    <s v="M"/>
    <n v="80"/>
    <s v="M"/>
    <n v="80"/>
    <s v="M"/>
    <n v="80"/>
    <n v="3"/>
    <n v="7"/>
    <n v="8"/>
    <n v="1400"/>
    <s v="MMM"/>
    <n v="240"/>
    <n v="360"/>
    <s v="Under"/>
  </r>
  <r>
    <x v="1"/>
    <n v="5004328"/>
    <s v="Koch"/>
    <s v="Kellie"/>
    <x v="0"/>
    <d v="1990-03-13T00:00:00"/>
    <s v="PPP"/>
    <s v="M"/>
    <n v="80"/>
    <s v="D"/>
    <n v="90"/>
    <s v="M"/>
    <n v="80"/>
    <s v="M"/>
    <n v="80"/>
    <s v="M"/>
    <n v="80"/>
    <s v="D"/>
    <n v="90"/>
    <s v="P"/>
    <n v="70"/>
    <s v="M"/>
    <n v="80"/>
    <s v="D"/>
    <n v="90"/>
    <n v="740"/>
    <s v="DDM"/>
    <s v="D"/>
    <n v="90"/>
    <s v="D"/>
    <n v="90"/>
    <s v="P"/>
    <n v="70"/>
    <s v="D"/>
    <n v="90"/>
    <s v="P"/>
    <n v="70"/>
    <s v="D"/>
    <n v="90"/>
    <s v="D"/>
    <n v="90"/>
    <s v="P"/>
    <n v="70"/>
    <s v="D"/>
    <n v="90"/>
    <n v="4"/>
    <n v="5"/>
    <n v="9"/>
    <n v="1400"/>
    <s v="MMM"/>
    <n v="240"/>
    <n v="120"/>
    <s v="Over"/>
  </r>
  <r>
    <x v="3"/>
    <n v="8192728"/>
    <s v="MacLean"/>
    <s v="Allie"/>
    <x v="0"/>
    <d v="1992-07-21T00:00:00"/>
    <s v="DDM"/>
    <s v="M"/>
    <n v="80"/>
    <s v="P"/>
    <n v="70"/>
    <s v="M"/>
    <n v="80"/>
    <s v="P"/>
    <n v="70"/>
    <s v="P"/>
    <n v="70"/>
    <s v="D"/>
    <n v="90"/>
    <s v="D"/>
    <n v="90"/>
    <s v="M"/>
    <n v="80"/>
    <s v="D"/>
    <n v="90"/>
    <n v="720"/>
    <s v="DMM"/>
    <s v="P"/>
    <n v="70"/>
    <s v="D"/>
    <n v="90"/>
    <s v="D"/>
    <n v="90"/>
    <s v="M"/>
    <n v="80"/>
    <s v="D"/>
    <n v="90"/>
    <s v="D"/>
    <n v="90"/>
    <s v="D"/>
    <n v="90"/>
    <s v="M"/>
    <n v="80"/>
    <s v="M"/>
    <n v="80"/>
    <n v="4"/>
    <n v="6"/>
    <n v="8"/>
    <n v="1400"/>
    <s v="MMM"/>
    <n v="240"/>
    <n v="320"/>
    <s v="Under"/>
  </r>
  <r>
    <x v="3"/>
    <n v="5920961"/>
    <s v="Rooney"/>
    <s v="Selina"/>
    <x v="0"/>
    <d v="1993-06-12T00:00:00"/>
    <s v="MPP"/>
    <s v="M"/>
    <n v="80"/>
    <s v="D"/>
    <n v="90"/>
    <s v="D"/>
    <n v="90"/>
    <s v="D"/>
    <n v="90"/>
    <s v="D"/>
    <n v="90"/>
    <s v="P"/>
    <n v="70"/>
    <s v="D"/>
    <n v="90"/>
    <s v="P"/>
    <n v="80"/>
    <s v="D"/>
    <n v="90"/>
    <n v="770"/>
    <s v="DDD*"/>
    <s v="M"/>
    <n v="80"/>
    <s v="P"/>
    <n v="70"/>
    <s v="P"/>
    <n v="70"/>
    <s v="D"/>
    <n v="90"/>
    <s v="M"/>
    <n v="80"/>
    <s v="M"/>
    <n v="80"/>
    <s v="P"/>
    <n v="70"/>
    <s v="D"/>
    <n v="90"/>
    <s v="M"/>
    <n v="80"/>
    <n v="5"/>
    <n v="5"/>
    <n v="8"/>
    <n v="1400"/>
    <s v="MMM"/>
    <n v="240"/>
    <n v="160"/>
    <s v="Over"/>
  </r>
  <r>
    <x v="1"/>
    <n v="5492997"/>
    <s v="Vargas"/>
    <s v="Haleigh"/>
    <x v="0"/>
    <d v="1992-07-29T00:00:00"/>
    <s v="MMM"/>
    <s v="D"/>
    <n v="90"/>
    <s v="P"/>
    <n v="70"/>
    <s v="D"/>
    <n v="90"/>
    <s v="P"/>
    <n v="70"/>
    <s v="M"/>
    <n v="80"/>
    <s v="P"/>
    <n v="70"/>
    <s v="M"/>
    <n v="80"/>
    <s v="M"/>
    <n v="90"/>
    <s v="M"/>
    <n v="80"/>
    <n v="720"/>
    <s v="DMM"/>
    <s v="D"/>
    <n v="90"/>
    <s v="D"/>
    <n v="90"/>
    <s v="P"/>
    <n v="70"/>
    <s v="D"/>
    <n v="90"/>
    <s v="D"/>
    <n v="90"/>
    <s v="D"/>
    <n v="90"/>
    <s v="D"/>
    <n v="90"/>
    <s v="D"/>
    <n v="90"/>
    <s v="P"/>
    <n v="70"/>
    <n v="5"/>
    <n v="4"/>
    <n v="9"/>
    <n v="1420"/>
    <s v="DMM"/>
    <n v="280"/>
    <n v="240"/>
    <s v="Over"/>
  </r>
  <r>
    <x v="2"/>
    <n v="5648985"/>
    <s v="Allen"/>
    <s v="Lana"/>
    <x v="0"/>
    <d v="1990-10-05T00:00:00"/>
    <s v="MMM"/>
    <s v="D"/>
    <n v="90"/>
    <s v="D"/>
    <n v="90"/>
    <s v="M"/>
    <n v="80"/>
    <s v="M"/>
    <n v="80"/>
    <s v="P"/>
    <n v="70"/>
    <s v="D"/>
    <n v="90"/>
    <s v="D"/>
    <n v="90"/>
    <s v="P"/>
    <n v="90"/>
    <s v="D"/>
    <n v="90"/>
    <n v="770"/>
    <s v="DDD*"/>
    <s v="M"/>
    <n v="80"/>
    <s v="M"/>
    <n v="80"/>
    <s v="D"/>
    <n v="90"/>
    <s v="D"/>
    <n v="90"/>
    <s v="P"/>
    <n v="70"/>
    <s v="D"/>
    <n v="90"/>
    <s v="D"/>
    <n v="90"/>
    <s v="P"/>
    <n v="70"/>
    <s v="M"/>
    <n v="80"/>
    <n v="4"/>
    <n v="5"/>
    <n v="9"/>
    <n v="1430"/>
    <s v="DMM"/>
    <n v="280"/>
    <n v="240"/>
    <s v="Over"/>
  </r>
  <r>
    <x v="2"/>
    <n v="9872136"/>
    <s v="Choate"/>
    <s v="Jaquelin"/>
    <x v="0"/>
    <d v="1993-06-29T00:00:00"/>
    <s v="MMP"/>
    <s v="M"/>
    <n v="80"/>
    <s v="M"/>
    <n v="80"/>
    <s v="D"/>
    <n v="90"/>
    <s v="M"/>
    <n v="80"/>
    <s v="D"/>
    <n v="90"/>
    <s v="D"/>
    <n v="90"/>
    <s v="M"/>
    <n v="80"/>
    <s v="P"/>
    <n v="80"/>
    <s v="D"/>
    <n v="90"/>
    <n v="760"/>
    <s v="DDD"/>
    <s v="P"/>
    <n v="70"/>
    <s v="D"/>
    <n v="90"/>
    <s v="P"/>
    <n v="70"/>
    <s v="D"/>
    <n v="90"/>
    <s v="M"/>
    <n v="80"/>
    <s v="D"/>
    <n v="90"/>
    <s v="D"/>
    <n v="90"/>
    <s v="D"/>
    <n v="90"/>
    <s v="P"/>
    <n v="70"/>
    <n v="4"/>
    <n v="5"/>
    <n v="9"/>
    <n v="1430"/>
    <s v="DMM"/>
    <n v="280"/>
    <n v="200"/>
    <s v="Over"/>
  </r>
  <r>
    <x v="1"/>
    <n v="9271911"/>
    <s v="Roy"/>
    <s v="Jimena"/>
    <x v="0"/>
    <d v="1993-04-24T00:00:00"/>
    <s v="DMM"/>
    <s v="D"/>
    <n v="90"/>
    <s v="D"/>
    <n v="90"/>
    <s v="D"/>
    <n v="90"/>
    <s v="D"/>
    <n v="90"/>
    <s v="P"/>
    <n v="70"/>
    <s v="M"/>
    <n v="80"/>
    <s v="M"/>
    <n v="80"/>
    <s v="M"/>
    <n v="90"/>
    <s v="P"/>
    <n v="70"/>
    <n v="750"/>
    <s v="DDD"/>
    <s v="D"/>
    <n v="90"/>
    <s v="P"/>
    <n v="70"/>
    <s v="D"/>
    <n v="90"/>
    <s v="D"/>
    <n v="90"/>
    <s v="M"/>
    <n v="80"/>
    <s v="D"/>
    <n v="90"/>
    <s v="D"/>
    <n v="90"/>
    <s v="M"/>
    <n v="80"/>
    <s v="D"/>
    <n v="90"/>
    <n v="3"/>
    <n v="5"/>
    <n v="10"/>
    <n v="1430"/>
    <s v="DMM"/>
    <n v="280"/>
    <n v="280"/>
    <s v="Same"/>
  </r>
  <r>
    <x v="1"/>
    <n v="7385656"/>
    <s v="Morales"/>
    <s v="Kiley"/>
    <x v="0"/>
    <d v="1992-09-25T00:00:00"/>
    <s v="DDD"/>
    <s v="D"/>
    <n v="90"/>
    <s v="D"/>
    <n v="90"/>
    <s v="M"/>
    <n v="80"/>
    <s v="P"/>
    <n v="70"/>
    <s v="P"/>
    <n v="70"/>
    <s v="D"/>
    <n v="90"/>
    <s v="D"/>
    <n v="90"/>
    <s v="M"/>
    <n v="90"/>
    <s v="M"/>
    <n v="80"/>
    <n v="750"/>
    <s v="DDD"/>
    <s v="D"/>
    <n v="90"/>
    <s v="D"/>
    <n v="90"/>
    <s v="M"/>
    <n v="80"/>
    <s v="D"/>
    <n v="90"/>
    <s v="D"/>
    <n v="90"/>
    <s v="M"/>
    <n v="80"/>
    <s v="D"/>
    <n v="90"/>
    <s v="D"/>
    <n v="90"/>
    <s v="P"/>
    <n v="70"/>
    <n v="3"/>
    <n v="5"/>
    <n v="10"/>
    <n v="1450"/>
    <s v="DMM"/>
    <n v="280"/>
    <n v="360"/>
    <s v="Under"/>
  </r>
  <r>
    <x v="1"/>
    <n v="8669816"/>
    <s v="Hussein"/>
    <s v="Warren"/>
    <x v="1"/>
    <d v="1991-09-11T00:00:00"/>
    <s v="MMM"/>
    <s v="P"/>
    <n v="70"/>
    <s v="P"/>
    <n v="70"/>
    <s v="M"/>
    <n v="80"/>
    <s v="P"/>
    <n v="70"/>
    <s v="D"/>
    <n v="90"/>
    <s v="M"/>
    <n v="80"/>
    <s v="D"/>
    <n v="90"/>
    <s v="D"/>
    <n v="70"/>
    <s v="P"/>
    <n v="70"/>
    <n v="690"/>
    <s v="MMM"/>
    <s v="P"/>
    <n v="70"/>
    <s v="P"/>
    <n v="70"/>
    <s v="P"/>
    <n v="70"/>
    <s v="P"/>
    <n v="70"/>
    <s v="D"/>
    <n v="90"/>
    <s v="M"/>
    <n v="80"/>
    <s v="P"/>
    <n v="70"/>
    <s v="P"/>
    <n v="70"/>
    <s v="M"/>
    <n v="80"/>
    <n v="10"/>
    <n v="4"/>
    <n v="4"/>
    <n v="1280"/>
    <s v="PPP"/>
    <n v="120"/>
    <n v="240"/>
    <s v="Under"/>
  </r>
  <r>
    <x v="3"/>
    <n v="5142876"/>
    <s v="Moody"/>
    <s v="Javion"/>
    <x v="1"/>
    <d v="1991-09-15T00:00:00"/>
    <s v="DDD"/>
    <s v="P"/>
    <n v="70"/>
    <s v="P"/>
    <n v="70"/>
    <s v="D"/>
    <n v="90"/>
    <s v="P"/>
    <n v="70"/>
    <s v="P"/>
    <n v="70"/>
    <s v="D"/>
    <n v="90"/>
    <s v="M"/>
    <n v="80"/>
    <s v="P"/>
    <n v="70"/>
    <s v="P"/>
    <n v="70"/>
    <n v="680"/>
    <s v="MMP"/>
    <s v="P"/>
    <n v="70"/>
    <s v="P"/>
    <n v="70"/>
    <s v="M"/>
    <n v="80"/>
    <s v="M"/>
    <n v="80"/>
    <s v="P"/>
    <n v="70"/>
    <s v="M"/>
    <n v="80"/>
    <s v="D"/>
    <n v="90"/>
    <s v="D"/>
    <n v="90"/>
    <s v="D"/>
    <n v="90"/>
    <n v="9"/>
    <n v="4"/>
    <n v="5"/>
    <n v="1310"/>
    <s v="MPP"/>
    <n v="160"/>
    <n v="360"/>
    <s v="Under"/>
  </r>
  <r>
    <x v="3"/>
    <n v="8789151"/>
    <s v="Rooney"/>
    <s v="Kendrick"/>
    <x v="1"/>
    <d v="1992-10-28T00:00:00"/>
    <s v="MPP"/>
    <s v="M"/>
    <n v="80"/>
    <s v="M"/>
    <n v="80"/>
    <s v="P"/>
    <n v="70"/>
    <s v="P"/>
    <n v="70"/>
    <s v="P"/>
    <n v="70"/>
    <s v="M"/>
    <n v="80"/>
    <s v="M"/>
    <n v="80"/>
    <s v="P"/>
    <n v="80"/>
    <s v="P"/>
    <n v="70"/>
    <n v="680"/>
    <s v="MMP"/>
    <s v="D"/>
    <n v="90"/>
    <s v="P"/>
    <n v="70"/>
    <s v="M"/>
    <n v="80"/>
    <s v="M"/>
    <n v="80"/>
    <s v="P"/>
    <n v="70"/>
    <s v="P"/>
    <n v="70"/>
    <s v="M"/>
    <n v="80"/>
    <s v="D"/>
    <n v="90"/>
    <s v="D"/>
    <n v="90"/>
    <n v="8"/>
    <n v="7"/>
    <n v="3"/>
    <n v="1310"/>
    <s v="MPP"/>
    <n v="160"/>
    <n v="160"/>
    <s v="Same"/>
  </r>
  <r>
    <x v="2"/>
    <n v="6809221"/>
    <s v="Gonzales"/>
    <s v="Cristian"/>
    <x v="1"/>
    <d v="1992-11-17T00:00:00"/>
    <s v="DDM"/>
    <s v="P"/>
    <n v="70"/>
    <s v="D"/>
    <n v="90"/>
    <s v="P"/>
    <n v="70"/>
    <s v="M"/>
    <n v="80"/>
    <s v="P"/>
    <n v="70"/>
    <s v="D"/>
    <n v="90"/>
    <s v="M"/>
    <n v="80"/>
    <s v="D"/>
    <n v="70"/>
    <s v="M"/>
    <n v="80"/>
    <n v="700"/>
    <s v="MMM"/>
    <s v="M"/>
    <n v="80"/>
    <s v="P"/>
    <n v="70"/>
    <s v="M"/>
    <n v="80"/>
    <s v="P"/>
    <n v="70"/>
    <s v="P"/>
    <n v="70"/>
    <s v="D"/>
    <n v="90"/>
    <s v="D"/>
    <n v="90"/>
    <s v="P"/>
    <n v="70"/>
    <s v="P"/>
    <n v="70"/>
    <n v="8"/>
    <n v="5"/>
    <n v="5"/>
    <n v="1320"/>
    <s v="MPP"/>
    <n v="160"/>
    <n v="320"/>
    <s v="Under"/>
  </r>
  <r>
    <x v="1"/>
    <n v="8507096"/>
    <s v="Doherty"/>
    <s v="Dallin"/>
    <x v="1"/>
    <d v="1992-07-06T00:00:00"/>
    <s v="MMP"/>
    <s v="M"/>
    <n v="80"/>
    <s v="M"/>
    <n v="80"/>
    <s v="P"/>
    <n v="70"/>
    <s v="D"/>
    <n v="90"/>
    <s v="M"/>
    <n v="80"/>
    <s v="P"/>
    <n v="70"/>
    <s v="M"/>
    <n v="80"/>
    <s v="M"/>
    <n v="80"/>
    <s v="D"/>
    <n v="90"/>
    <n v="720"/>
    <s v="DMM"/>
    <s v="P"/>
    <n v="70"/>
    <s v="P"/>
    <n v="70"/>
    <s v="M"/>
    <n v="80"/>
    <s v="P"/>
    <n v="70"/>
    <s v="P"/>
    <n v="70"/>
    <s v="P"/>
    <n v="70"/>
    <s v="D"/>
    <n v="90"/>
    <s v="M"/>
    <n v="80"/>
    <s v="D"/>
    <n v="90"/>
    <n v="7"/>
    <n v="7"/>
    <n v="4"/>
    <n v="1320"/>
    <s v="MPP"/>
    <n v="160"/>
    <n v="200"/>
    <s v="Under"/>
  </r>
  <r>
    <x v="1"/>
    <n v="7784709"/>
    <s v="Rose"/>
    <s v="Kelton"/>
    <x v="1"/>
    <d v="1990-06-04T00:00:00"/>
    <s v="MMP"/>
    <s v="P"/>
    <n v="70"/>
    <s v="P"/>
    <n v="70"/>
    <s v="D"/>
    <n v="90"/>
    <s v="D"/>
    <n v="90"/>
    <s v="P"/>
    <n v="70"/>
    <s v="P"/>
    <n v="70"/>
    <s v="M"/>
    <n v="80"/>
    <s v="P"/>
    <n v="70"/>
    <s v="P"/>
    <n v="70"/>
    <n v="680"/>
    <s v="MMP"/>
    <s v="D"/>
    <n v="90"/>
    <s v="P"/>
    <n v="70"/>
    <s v="M"/>
    <n v="80"/>
    <s v="D"/>
    <n v="90"/>
    <s v="M"/>
    <n v="80"/>
    <s v="P"/>
    <n v="70"/>
    <s v="P"/>
    <n v="70"/>
    <s v="D"/>
    <n v="90"/>
    <s v="P"/>
    <n v="70"/>
    <n v="10"/>
    <n v="3"/>
    <n v="5"/>
    <n v="1320"/>
    <s v="MPP"/>
    <n v="160"/>
    <n v="200"/>
    <s v="Under"/>
  </r>
  <r>
    <x v="3"/>
    <n v="9298255"/>
    <s v="Collins"/>
    <s v="Douglas"/>
    <x v="1"/>
    <d v="1992-12-24T00:00:00"/>
    <s v="MMP"/>
    <s v="M"/>
    <n v="80"/>
    <s v="D"/>
    <n v="90"/>
    <s v="P"/>
    <n v="70"/>
    <s v="M"/>
    <n v="80"/>
    <s v="D"/>
    <n v="90"/>
    <s v="P"/>
    <n v="70"/>
    <s v="D"/>
    <n v="90"/>
    <s v="M"/>
    <n v="80"/>
    <s v="P"/>
    <n v="70"/>
    <n v="720"/>
    <s v="DMM"/>
    <s v="P"/>
    <n v="70"/>
    <s v="P"/>
    <n v="70"/>
    <s v="M"/>
    <n v="80"/>
    <s v="P"/>
    <n v="70"/>
    <s v="M"/>
    <n v="80"/>
    <s v="M"/>
    <n v="80"/>
    <s v="P"/>
    <n v="70"/>
    <s v="M"/>
    <n v="80"/>
    <s v="P"/>
    <n v="70"/>
    <n v="8"/>
    <n v="7"/>
    <n v="3"/>
    <n v="1320"/>
    <s v="MPP"/>
    <n v="160"/>
    <n v="200"/>
    <s v="Under"/>
  </r>
  <r>
    <x v="2"/>
    <n v="6121771"/>
    <s v="Pennington"/>
    <s v="Kendall"/>
    <x v="1"/>
    <d v="1991-12-09T00:00:00"/>
    <s v="MPP"/>
    <s v="M"/>
    <n v="80"/>
    <s v="D"/>
    <n v="90"/>
    <s v="M"/>
    <n v="80"/>
    <s v="P"/>
    <n v="70"/>
    <s v="M"/>
    <n v="80"/>
    <s v="M"/>
    <n v="80"/>
    <s v="D"/>
    <n v="90"/>
    <s v="M"/>
    <n v="80"/>
    <s v="P"/>
    <n v="70"/>
    <n v="720"/>
    <s v="DMM"/>
    <s v="P"/>
    <n v="70"/>
    <s v="P"/>
    <n v="70"/>
    <s v="D"/>
    <n v="90"/>
    <s v="P"/>
    <n v="70"/>
    <s v="M"/>
    <n v="80"/>
    <s v="P"/>
    <n v="70"/>
    <s v="P"/>
    <n v="70"/>
    <s v="D"/>
    <n v="90"/>
    <s v="M"/>
    <n v="80"/>
    <n v="7"/>
    <n v="7"/>
    <n v="4"/>
    <n v="1330"/>
    <s v="MPP"/>
    <n v="160"/>
    <n v="160"/>
    <s v="Same"/>
  </r>
  <r>
    <x v="2"/>
    <n v="6519710"/>
    <s v="Franklin"/>
    <s v="Rogelio"/>
    <x v="1"/>
    <d v="1991-12-22T00:00:00"/>
    <s v="MPP"/>
    <s v="M"/>
    <n v="80"/>
    <s v="M"/>
    <n v="80"/>
    <s v="P"/>
    <n v="70"/>
    <s v="P"/>
    <n v="70"/>
    <s v="M"/>
    <n v="80"/>
    <s v="M"/>
    <n v="80"/>
    <s v="M"/>
    <n v="80"/>
    <s v="D"/>
    <n v="80"/>
    <s v="P"/>
    <n v="70"/>
    <n v="690"/>
    <s v="MMM"/>
    <s v="P"/>
    <n v="70"/>
    <s v="P"/>
    <n v="70"/>
    <s v="M"/>
    <n v="80"/>
    <s v="M"/>
    <n v="80"/>
    <s v="M"/>
    <n v="80"/>
    <s v="D"/>
    <n v="90"/>
    <s v="D"/>
    <n v="90"/>
    <s v="D"/>
    <n v="90"/>
    <s v="D"/>
    <n v="90"/>
    <n v="5"/>
    <n v="8"/>
    <n v="5"/>
    <n v="1340"/>
    <s v="MMP"/>
    <n v="200"/>
    <n v="160"/>
    <s v="Over"/>
  </r>
  <r>
    <x v="0"/>
    <n v="5327226"/>
    <s v="Bradley"/>
    <s v="Cullen"/>
    <x v="1"/>
    <d v="1991-01-25T00:00:00"/>
    <s v="MMM"/>
    <s v="M"/>
    <n v="80"/>
    <s v="P"/>
    <n v="70"/>
    <s v="D"/>
    <n v="90"/>
    <s v="D"/>
    <n v="90"/>
    <s v="P"/>
    <n v="70"/>
    <s v="D"/>
    <n v="90"/>
    <s v="P"/>
    <n v="70"/>
    <s v="D"/>
    <n v="80"/>
    <s v="P"/>
    <n v="70"/>
    <n v="710"/>
    <s v="DMM"/>
    <s v="P"/>
    <n v="70"/>
    <s v="M"/>
    <n v="80"/>
    <s v="M"/>
    <n v="80"/>
    <s v="P"/>
    <n v="70"/>
    <s v="M"/>
    <n v="80"/>
    <s v="M"/>
    <n v="80"/>
    <s v="D"/>
    <n v="90"/>
    <s v="M"/>
    <n v="80"/>
    <s v="M"/>
    <n v="80"/>
    <n v="6"/>
    <n v="7"/>
    <n v="5"/>
    <n v="1340"/>
    <s v="MMP"/>
    <n v="200"/>
    <n v="240"/>
    <s v="Under"/>
  </r>
  <r>
    <x v="1"/>
    <n v="7053292"/>
    <s v="Bell"/>
    <s v="Keagan"/>
    <x v="1"/>
    <d v="1990-09-06T00:00:00"/>
    <s v="DDM"/>
    <s v="P"/>
    <n v="70"/>
    <s v="D"/>
    <n v="90"/>
    <s v="M"/>
    <n v="80"/>
    <s v="P"/>
    <n v="70"/>
    <s v="M"/>
    <n v="80"/>
    <s v="D"/>
    <n v="90"/>
    <s v="P"/>
    <n v="70"/>
    <s v="M"/>
    <n v="70"/>
    <s v="M"/>
    <n v="80"/>
    <n v="700"/>
    <s v="MMM"/>
    <s v="D"/>
    <n v="90"/>
    <s v="D"/>
    <n v="90"/>
    <s v="P"/>
    <n v="70"/>
    <s v="P"/>
    <n v="70"/>
    <s v="P"/>
    <n v="70"/>
    <s v="D"/>
    <n v="90"/>
    <s v="M"/>
    <n v="80"/>
    <s v="M"/>
    <n v="80"/>
    <s v="P"/>
    <n v="70"/>
    <n v="7"/>
    <n v="6"/>
    <n v="5"/>
    <n v="1340"/>
    <s v="MMP"/>
    <n v="200"/>
    <n v="320"/>
    <s v="Under"/>
  </r>
  <r>
    <x v="1"/>
    <n v="8409788"/>
    <s v="Coyne"/>
    <s v="Kellen"/>
    <x v="1"/>
    <d v="1993-05-02T00:00:00"/>
    <s v="MMP"/>
    <s v="P"/>
    <n v="70"/>
    <s v="M"/>
    <n v="80"/>
    <s v="D"/>
    <n v="90"/>
    <s v="M"/>
    <n v="80"/>
    <s v="M"/>
    <n v="80"/>
    <s v="M"/>
    <n v="80"/>
    <s v="P"/>
    <n v="70"/>
    <s v="D"/>
    <n v="70"/>
    <s v="P"/>
    <n v="70"/>
    <n v="690"/>
    <s v="MMM"/>
    <s v="M"/>
    <n v="80"/>
    <s v="M"/>
    <n v="80"/>
    <s v="M"/>
    <n v="80"/>
    <s v="P"/>
    <n v="70"/>
    <s v="D"/>
    <n v="90"/>
    <s v="D"/>
    <n v="90"/>
    <s v="M"/>
    <n v="80"/>
    <s v="M"/>
    <n v="80"/>
    <s v="D"/>
    <n v="90"/>
    <n v="4"/>
    <n v="9"/>
    <n v="5"/>
    <n v="1340"/>
    <s v="MMP"/>
    <n v="200"/>
    <n v="200"/>
    <s v="Same"/>
  </r>
  <r>
    <x v="1"/>
    <n v="8260296"/>
    <s v="Dodd"/>
    <s v="Frederick"/>
    <x v="1"/>
    <d v="1993-04-08T00:00:00"/>
    <s v="MMP"/>
    <s v="M"/>
    <n v="80"/>
    <s v="M"/>
    <n v="80"/>
    <s v="M"/>
    <n v="80"/>
    <s v="P"/>
    <n v="70"/>
    <s v="D"/>
    <n v="90"/>
    <s v="D"/>
    <n v="90"/>
    <s v="M"/>
    <n v="80"/>
    <s v="D"/>
    <n v="80"/>
    <s v="P"/>
    <n v="70"/>
    <n v="720"/>
    <s v="DMM"/>
    <s v="P"/>
    <n v="70"/>
    <s v="M"/>
    <n v="80"/>
    <s v="P"/>
    <n v="70"/>
    <s v="M"/>
    <n v="80"/>
    <s v="D"/>
    <n v="90"/>
    <s v="P"/>
    <n v="70"/>
    <s v="P"/>
    <n v="70"/>
    <s v="D"/>
    <n v="90"/>
    <s v="M"/>
    <n v="80"/>
    <n v="6"/>
    <n v="7"/>
    <n v="5"/>
    <n v="1340"/>
    <s v="MMP"/>
    <n v="200"/>
    <n v="200"/>
    <s v="Same"/>
  </r>
  <r>
    <x v="1"/>
    <n v="9363135"/>
    <s v="Murdock"/>
    <s v="Diego"/>
    <x v="1"/>
    <d v="1990-09-23T00:00:00"/>
    <s v="PPP"/>
    <s v="P"/>
    <n v="70"/>
    <s v="D"/>
    <n v="90"/>
    <s v="P"/>
    <n v="70"/>
    <s v="M"/>
    <n v="80"/>
    <s v="D"/>
    <n v="90"/>
    <s v="P"/>
    <n v="70"/>
    <s v="M"/>
    <n v="80"/>
    <s v="M"/>
    <n v="70"/>
    <s v="P"/>
    <n v="70"/>
    <n v="690"/>
    <s v="MMM"/>
    <s v="P"/>
    <n v="70"/>
    <s v="M"/>
    <n v="80"/>
    <s v="M"/>
    <n v="80"/>
    <s v="D"/>
    <n v="90"/>
    <s v="D"/>
    <n v="90"/>
    <s v="D"/>
    <n v="90"/>
    <s v="P"/>
    <n v="70"/>
    <s v="M"/>
    <n v="80"/>
    <s v="P"/>
    <n v="70"/>
    <n v="7"/>
    <n v="6"/>
    <n v="5"/>
    <n v="1340"/>
    <s v="MMP"/>
    <n v="200"/>
    <n v="120"/>
    <s v="Over"/>
  </r>
  <r>
    <x v="1"/>
    <n v="9791063"/>
    <s v="Sinclair"/>
    <s v="Jace"/>
    <x v="1"/>
    <d v="1991-04-06T00:00:00"/>
    <s v="PPP"/>
    <s v="M"/>
    <n v="80"/>
    <s v="D"/>
    <n v="90"/>
    <s v="M"/>
    <n v="80"/>
    <s v="D"/>
    <n v="90"/>
    <s v="D"/>
    <n v="90"/>
    <s v="M"/>
    <n v="80"/>
    <s v="P"/>
    <n v="70"/>
    <s v="P"/>
    <n v="80"/>
    <s v="P"/>
    <n v="70"/>
    <n v="730"/>
    <s v="DDM"/>
    <s v="P"/>
    <n v="70"/>
    <s v="M"/>
    <n v="80"/>
    <s v="M"/>
    <n v="80"/>
    <s v="P"/>
    <n v="70"/>
    <s v="P"/>
    <n v="70"/>
    <s v="M"/>
    <n v="80"/>
    <s v="D"/>
    <n v="90"/>
    <s v="P"/>
    <n v="70"/>
    <s v="M"/>
    <n v="80"/>
    <n v="7"/>
    <n v="7"/>
    <n v="4"/>
    <n v="1340"/>
    <s v="MMP"/>
    <n v="200"/>
    <n v="120"/>
    <s v="Over"/>
  </r>
  <r>
    <x v="0"/>
    <n v="8970549"/>
    <s v="Rashid"/>
    <s v="Walker"/>
    <x v="1"/>
    <d v="1992-05-04T00:00:00"/>
    <s v="DMM"/>
    <s v="D"/>
    <n v="90"/>
    <s v="D"/>
    <n v="90"/>
    <s v="D"/>
    <n v="90"/>
    <s v="P"/>
    <n v="70"/>
    <s v="D"/>
    <n v="90"/>
    <s v="P"/>
    <n v="70"/>
    <s v="P"/>
    <n v="70"/>
    <s v="D"/>
    <n v="90"/>
    <s v="M"/>
    <n v="80"/>
    <n v="740"/>
    <s v="DDM"/>
    <s v="M"/>
    <n v="80"/>
    <s v="P"/>
    <n v="70"/>
    <s v="M"/>
    <n v="80"/>
    <s v="P"/>
    <n v="70"/>
    <s v="D"/>
    <n v="90"/>
    <s v="M"/>
    <n v="80"/>
    <s v="P"/>
    <n v="70"/>
    <s v="P"/>
    <n v="70"/>
    <s v="D"/>
    <n v="90"/>
    <n v="7"/>
    <n v="4"/>
    <n v="7"/>
    <n v="1350"/>
    <s v="MMP"/>
    <n v="200"/>
    <n v="280"/>
    <s v="Under"/>
  </r>
  <r>
    <x v="0"/>
    <n v="8537633"/>
    <s v="Whalen"/>
    <s v="Kurt"/>
    <x v="1"/>
    <d v="1991-06-10T00:00:00"/>
    <s v="DDD"/>
    <s v="P"/>
    <n v="70"/>
    <s v="M"/>
    <n v="80"/>
    <s v="M"/>
    <n v="80"/>
    <s v="P"/>
    <n v="70"/>
    <s v="D"/>
    <n v="90"/>
    <s v="D"/>
    <n v="90"/>
    <s v="D"/>
    <n v="90"/>
    <s v="M"/>
    <n v="70"/>
    <s v="P"/>
    <n v="70"/>
    <n v="710"/>
    <s v="DMM"/>
    <s v="D"/>
    <n v="90"/>
    <s v="M"/>
    <n v="80"/>
    <s v="M"/>
    <n v="80"/>
    <s v="M"/>
    <n v="80"/>
    <s v="M"/>
    <n v="80"/>
    <s v="D"/>
    <n v="90"/>
    <s v="P"/>
    <n v="70"/>
    <s v="P"/>
    <n v="70"/>
    <s v="M"/>
    <n v="80"/>
    <n v="5"/>
    <n v="8"/>
    <n v="5"/>
    <n v="1350"/>
    <s v="MMP"/>
    <n v="200"/>
    <n v="360"/>
    <s v="Under"/>
  </r>
  <r>
    <x v="3"/>
    <n v="5137297"/>
    <s v="Bradford"/>
    <s v="Russell"/>
    <x v="1"/>
    <d v="1991-07-11T00:00:00"/>
    <s v="DDD"/>
    <s v="D"/>
    <n v="90"/>
    <s v="P"/>
    <n v="70"/>
    <s v="P"/>
    <n v="70"/>
    <s v="D"/>
    <n v="90"/>
    <s v="M"/>
    <n v="80"/>
    <s v="P"/>
    <n v="70"/>
    <s v="M"/>
    <n v="80"/>
    <s v="D"/>
    <n v="90"/>
    <s v="M"/>
    <n v="80"/>
    <n v="720"/>
    <s v="DMM"/>
    <s v="M"/>
    <n v="80"/>
    <s v="M"/>
    <n v="80"/>
    <s v="M"/>
    <n v="80"/>
    <s v="P"/>
    <n v="70"/>
    <s v="M"/>
    <n v="80"/>
    <s v="P"/>
    <n v="70"/>
    <s v="M"/>
    <n v="80"/>
    <s v="D"/>
    <n v="90"/>
    <s v="M"/>
    <n v="80"/>
    <n v="5"/>
    <n v="9"/>
    <n v="4"/>
    <n v="1350"/>
    <s v="MMP"/>
    <n v="200"/>
    <n v="360"/>
    <s v="Under"/>
  </r>
  <r>
    <x v="3"/>
    <n v="9160973"/>
    <s v="Hasan"/>
    <s v="Jalen"/>
    <x v="1"/>
    <d v="1992-06-22T00:00:00"/>
    <s v="DMM"/>
    <s v="P"/>
    <n v="70"/>
    <s v="D"/>
    <n v="90"/>
    <s v="M"/>
    <n v="80"/>
    <s v="P"/>
    <n v="70"/>
    <s v="M"/>
    <n v="80"/>
    <s v="D"/>
    <n v="90"/>
    <s v="M"/>
    <n v="80"/>
    <s v="D"/>
    <n v="70"/>
    <s v="P"/>
    <n v="70"/>
    <n v="700"/>
    <s v="MMM"/>
    <s v="D"/>
    <n v="90"/>
    <s v="M"/>
    <n v="80"/>
    <s v="P"/>
    <n v="70"/>
    <s v="M"/>
    <n v="80"/>
    <s v="M"/>
    <n v="80"/>
    <s v="D"/>
    <n v="90"/>
    <s v="P"/>
    <n v="70"/>
    <s v="D"/>
    <n v="90"/>
    <s v="P"/>
    <n v="70"/>
    <n v="6"/>
    <n v="6"/>
    <n v="6"/>
    <n v="1350"/>
    <s v="MMP"/>
    <n v="200"/>
    <n v="280"/>
    <s v="Under"/>
  </r>
  <r>
    <x v="2"/>
    <n v="8443287"/>
    <s v="Beach"/>
    <s v="Brad"/>
    <x v="1"/>
    <d v="1992-05-13T00:00:00"/>
    <s v="DDD"/>
    <s v="P"/>
    <n v="70"/>
    <s v="M"/>
    <n v="80"/>
    <s v="D"/>
    <n v="90"/>
    <s v="P"/>
    <n v="70"/>
    <s v="M"/>
    <n v="80"/>
    <s v="D"/>
    <n v="90"/>
    <s v="D"/>
    <n v="90"/>
    <s v="D"/>
    <n v="70"/>
    <s v="D"/>
    <n v="90"/>
    <n v="730"/>
    <s v="DDM"/>
    <s v="D"/>
    <n v="90"/>
    <s v="P"/>
    <n v="70"/>
    <s v="D"/>
    <n v="90"/>
    <s v="P"/>
    <n v="70"/>
    <s v="P"/>
    <n v="70"/>
    <s v="P"/>
    <n v="70"/>
    <s v="M"/>
    <n v="80"/>
    <s v="D"/>
    <n v="90"/>
    <s v="M"/>
    <n v="80"/>
    <n v="6"/>
    <n v="4"/>
    <n v="8"/>
    <n v="1360"/>
    <s v="MMP"/>
    <n v="200"/>
    <n v="360"/>
    <s v="Under"/>
  </r>
  <r>
    <x v="2"/>
    <n v="6989754"/>
    <s v="Peterson"/>
    <s v="Patrick"/>
    <x v="1"/>
    <d v="1990-11-18T00:00:00"/>
    <s v="PPP"/>
    <s v="P"/>
    <n v="70"/>
    <s v="D"/>
    <n v="90"/>
    <s v="M"/>
    <n v="80"/>
    <s v="M"/>
    <n v="80"/>
    <s v="P"/>
    <n v="70"/>
    <s v="P"/>
    <n v="70"/>
    <s v="D"/>
    <n v="90"/>
    <s v="M"/>
    <n v="70"/>
    <s v="D"/>
    <n v="90"/>
    <n v="710"/>
    <s v="DMM"/>
    <s v="D"/>
    <n v="90"/>
    <s v="P"/>
    <n v="70"/>
    <s v="D"/>
    <n v="90"/>
    <s v="D"/>
    <n v="90"/>
    <s v="M"/>
    <n v="80"/>
    <s v="P"/>
    <n v="70"/>
    <s v="M"/>
    <n v="80"/>
    <s v="M"/>
    <n v="80"/>
    <s v="D"/>
    <n v="90"/>
    <n v="5"/>
    <n v="6"/>
    <n v="7"/>
    <n v="1360"/>
    <s v="MMP"/>
    <n v="200"/>
    <n v="120"/>
    <s v="Over"/>
  </r>
  <r>
    <x v="1"/>
    <n v="6526911"/>
    <s v="Browne"/>
    <s v="Eric"/>
    <x v="1"/>
    <d v="1990-05-31T00:00:00"/>
    <s v="DDD"/>
    <s v="D"/>
    <n v="90"/>
    <s v="M"/>
    <n v="80"/>
    <s v="P"/>
    <n v="70"/>
    <s v="M"/>
    <n v="80"/>
    <s v="P"/>
    <n v="70"/>
    <s v="M"/>
    <n v="80"/>
    <s v="M"/>
    <n v="80"/>
    <s v="M"/>
    <n v="90"/>
    <s v="M"/>
    <n v="80"/>
    <n v="720"/>
    <s v="DMM"/>
    <s v="P"/>
    <n v="70"/>
    <s v="D"/>
    <n v="90"/>
    <s v="M"/>
    <n v="80"/>
    <s v="M"/>
    <n v="80"/>
    <s v="P"/>
    <n v="70"/>
    <s v="M"/>
    <n v="80"/>
    <s v="D"/>
    <n v="90"/>
    <s v="M"/>
    <n v="80"/>
    <s v="D"/>
    <n v="90"/>
    <n v="4"/>
    <n v="10"/>
    <n v="4"/>
    <n v="1360"/>
    <s v="MMP"/>
    <n v="200"/>
    <n v="360"/>
    <s v="Under"/>
  </r>
  <r>
    <x v="1"/>
    <n v="8439095"/>
    <s v="Ross"/>
    <s v="Malcolm"/>
    <x v="1"/>
    <d v="1992-06-01T00:00:00"/>
    <s v="PPP"/>
    <s v="M"/>
    <n v="80"/>
    <s v="P"/>
    <n v="70"/>
    <s v="M"/>
    <n v="80"/>
    <s v="M"/>
    <n v="80"/>
    <s v="D"/>
    <n v="90"/>
    <s v="M"/>
    <n v="80"/>
    <s v="M"/>
    <n v="80"/>
    <s v="D"/>
    <n v="80"/>
    <s v="M"/>
    <n v="80"/>
    <n v="720"/>
    <s v="DMM"/>
    <s v="P"/>
    <n v="70"/>
    <s v="M"/>
    <n v="80"/>
    <s v="D"/>
    <n v="90"/>
    <s v="P"/>
    <n v="70"/>
    <s v="D"/>
    <n v="90"/>
    <s v="D"/>
    <n v="90"/>
    <s v="M"/>
    <n v="80"/>
    <s v="P"/>
    <n v="70"/>
    <s v="P"/>
    <n v="70"/>
    <n v="5"/>
    <n v="8"/>
    <n v="5"/>
    <n v="1360"/>
    <s v="MMP"/>
    <n v="200"/>
    <n v="120"/>
    <s v="Over"/>
  </r>
  <r>
    <x v="3"/>
    <n v="5788647"/>
    <s v="Ali"/>
    <s v="Dillan"/>
    <x v="1"/>
    <d v="1992-06-08T00:00:00"/>
    <s v="MMM"/>
    <s v="D"/>
    <n v="90"/>
    <s v="M"/>
    <n v="80"/>
    <s v="D"/>
    <n v="90"/>
    <s v="D"/>
    <n v="90"/>
    <s v="P"/>
    <n v="70"/>
    <s v="P"/>
    <n v="70"/>
    <s v="M"/>
    <n v="80"/>
    <s v="M"/>
    <n v="90"/>
    <s v="P"/>
    <n v="70"/>
    <n v="730"/>
    <s v="DDM"/>
    <s v="P"/>
    <n v="70"/>
    <s v="M"/>
    <n v="80"/>
    <s v="M"/>
    <n v="80"/>
    <s v="M"/>
    <n v="80"/>
    <s v="D"/>
    <n v="90"/>
    <s v="D"/>
    <n v="90"/>
    <s v="P"/>
    <n v="70"/>
    <s v="P"/>
    <n v="70"/>
    <s v="P"/>
    <n v="70"/>
    <n v="7"/>
    <n v="6"/>
    <n v="5"/>
    <n v="1360"/>
    <s v="MMP"/>
    <n v="200"/>
    <n v="240"/>
    <s v="Under"/>
  </r>
  <r>
    <x v="3"/>
    <n v="6638401"/>
    <s v="Malloy"/>
    <s v="Adriel"/>
    <x v="1"/>
    <d v="1992-06-11T00:00:00"/>
    <s v="DMM"/>
    <s v="D"/>
    <n v="90"/>
    <s v="P"/>
    <n v="70"/>
    <s v="P"/>
    <n v="70"/>
    <s v="M"/>
    <n v="80"/>
    <s v="D"/>
    <n v="90"/>
    <s v="D"/>
    <n v="90"/>
    <s v="M"/>
    <n v="80"/>
    <s v="M"/>
    <n v="90"/>
    <s v="D"/>
    <n v="90"/>
    <n v="750"/>
    <s v="DDD"/>
    <s v="P"/>
    <n v="70"/>
    <s v="P"/>
    <n v="70"/>
    <s v="M"/>
    <n v="80"/>
    <s v="P"/>
    <n v="70"/>
    <s v="M"/>
    <n v="80"/>
    <s v="P"/>
    <n v="70"/>
    <s v="M"/>
    <n v="80"/>
    <s v="D"/>
    <n v="90"/>
    <s v="M"/>
    <n v="80"/>
    <n v="6"/>
    <n v="7"/>
    <n v="5"/>
    <n v="1360"/>
    <s v="MMP"/>
    <n v="200"/>
    <n v="280"/>
    <s v="Under"/>
  </r>
  <r>
    <x v="3"/>
    <n v="9835981"/>
    <s v="Riley"/>
    <s v="Jadon"/>
    <x v="1"/>
    <d v="1991-12-05T00:00:00"/>
    <s v="MMP"/>
    <s v="M"/>
    <n v="80"/>
    <s v="P"/>
    <n v="70"/>
    <s v="P"/>
    <n v="70"/>
    <s v="M"/>
    <n v="80"/>
    <s v="D"/>
    <n v="90"/>
    <s v="D"/>
    <n v="90"/>
    <s v="D"/>
    <n v="90"/>
    <s v="M"/>
    <n v="80"/>
    <s v="M"/>
    <n v="80"/>
    <n v="730"/>
    <s v="DDM"/>
    <s v="M"/>
    <n v="80"/>
    <s v="P"/>
    <n v="70"/>
    <s v="D"/>
    <n v="90"/>
    <s v="P"/>
    <n v="70"/>
    <s v="D"/>
    <n v="90"/>
    <s v="D"/>
    <n v="90"/>
    <s v="P"/>
    <n v="70"/>
    <s v="P"/>
    <n v="70"/>
    <s v="P"/>
    <n v="70"/>
    <n v="7"/>
    <n v="5"/>
    <n v="6"/>
    <n v="1360"/>
    <s v="MMP"/>
    <n v="200"/>
    <n v="200"/>
    <s v="Same"/>
  </r>
  <r>
    <x v="2"/>
    <n v="8328296"/>
    <s v="House"/>
    <s v="Rodrigo"/>
    <x v="1"/>
    <d v="1991-03-21T00:00:00"/>
    <s v="PPP"/>
    <s v="P"/>
    <n v="70"/>
    <s v="D"/>
    <n v="90"/>
    <s v="M"/>
    <n v="80"/>
    <s v="P"/>
    <n v="70"/>
    <s v="D"/>
    <n v="90"/>
    <s v="D"/>
    <n v="90"/>
    <s v="D"/>
    <n v="90"/>
    <s v="D"/>
    <n v="70"/>
    <s v="M"/>
    <n v="80"/>
    <n v="730"/>
    <s v="DDM"/>
    <s v="P"/>
    <n v="70"/>
    <s v="P"/>
    <n v="70"/>
    <s v="M"/>
    <n v="80"/>
    <s v="M"/>
    <n v="80"/>
    <s v="D"/>
    <n v="90"/>
    <s v="P"/>
    <n v="70"/>
    <s v="D"/>
    <n v="90"/>
    <s v="D"/>
    <n v="90"/>
    <s v="P"/>
    <n v="70"/>
    <n v="6"/>
    <n v="4"/>
    <n v="8"/>
    <n v="1370"/>
    <s v="MMP"/>
    <n v="200"/>
    <n v="120"/>
    <s v="Over"/>
  </r>
  <r>
    <x v="2"/>
    <n v="9601005"/>
    <s v="Spencer"/>
    <s v="Brock"/>
    <x v="1"/>
    <d v="1990-08-22T00:00:00"/>
    <s v="DDD"/>
    <s v="D"/>
    <n v="90"/>
    <s v="D"/>
    <n v="90"/>
    <s v="P"/>
    <n v="70"/>
    <s v="M"/>
    <n v="80"/>
    <s v="M"/>
    <n v="80"/>
    <s v="M"/>
    <n v="80"/>
    <s v="P"/>
    <n v="70"/>
    <s v="D"/>
    <n v="90"/>
    <s v="M"/>
    <n v="80"/>
    <n v="730"/>
    <s v="DDM"/>
    <s v="P"/>
    <n v="70"/>
    <s v="D"/>
    <n v="90"/>
    <s v="D"/>
    <n v="90"/>
    <s v="M"/>
    <n v="80"/>
    <s v="P"/>
    <n v="70"/>
    <s v="D"/>
    <n v="90"/>
    <s v="P"/>
    <n v="70"/>
    <s v="M"/>
    <n v="80"/>
    <s v="D"/>
    <n v="90"/>
    <n v="5"/>
    <n v="6"/>
    <n v="7"/>
    <n v="1370"/>
    <s v="MMP"/>
    <n v="200"/>
    <n v="360"/>
    <s v="Under"/>
  </r>
  <r>
    <x v="0"/>
    <n v="8371359"/>
    <s v="Hess"/>
    <s v="Winston"/>
    <x v="1"/>
    <d v="1992-10-02T00:00:00"/>
    <s v="MMP"/>
    <s v="D"/>
    <n v="90"/>
    <s v="M"/>
    <n v="80"/>
    <s v="D"/>
    <n v="90"/>
    <s v="D"/>
    <n v="90"/>
    <s v="P"/>
    <n v="70"/>
    <s v="D"/>
    <n v="90"/>
    <s v="P"/>
    <n v="70"/>
    <s v="M"/>
    <n v="90"/>
    <s v="M"/>
    <n v="80"/>
    <n v="750"/>
    <s v="DDD"/>
    <s v="M"/>
    <n v="80"/>
    <s v="P"/>
    <n v="70"/>
    <s v="P"/>
    <n v="70"/>
    <s v="M"/>
    <n v="80"/>
    <s v="D"/>
    <n v="90"/>
    <s v="M"/>
    <n v="80"/>
    <s v="M"/>
    <n v="80"/>
    <s v="P"/>
    <n v="70"/>
    <s v="P"/>
    <n v="70"/>
    <n v="6"/>
    <n v="7"/>
    <n v="5"/>
    <n v="1370"/>
    <s v="MMP"/>
    <n v="200"/>
    <n v="200"/>
    <s v="Same"/>
  </r>
  <r>
    <x v="0"/>
    <n v="9468100"/>
    <s v="MacDonald"/>
    <s v="Justice"/>
    <x v="1"/>
    <d v="1990-02-01T00:00:00"/>
    <s v="MPP"/>
    <s v="P"/>
    <n v="70"/>
    <s v="M"/>
    <n v="80"/>
    <s v="D"/>
    <n v="90"/>
    <s v="M"/>
    <n v="80"/>
    <s v="D"/>
    <n v="90"/>
    <s v="M"/>
    <n v="80"/>
    <s v="P"/>
    <n v="70"/>
    <s v="P"/>
    <n v="70"/>
    <s v="M"/>
    <n v="80"/>
    <n v="710"/>
    <s v="DMM"/>
    <s v="D"/>
    <n v="90"/>
    <s v="M"/>
    <n v="80"/>
    <s v="D"/>
    <n v="90"/>
    <s v="M"/>
    <n v="80"/>
    <s v="D"/>
    <n v="90"/>
    <s v="M"/>
    <n v="80"/>
    <s v="P"/>
    <n v="70"/>
    <s v="M"/>
    <n v="80"/>
    <s v="D"/>
    <n v="90"/>
    <n v="4"/>
    <n v="8"/>
    <n v="6"/>
    <n v="1370"/>
    <s v="MMP"/>
    <n v="200"/>
    <n v="160"/>
    <s v="Over"/>
  </r>
  <r>
    <x v="0"/>
    <n v="5533724"/>
    <s v="McDonald"/>
    <s v="Max"/>
    <x v="1"/>
    <d v="1992-12-13T00:00:00"/>
    <s v="DDD"/>
    <s v="M"/>
    <n v="80"/>
    <s v="D"/>
    <n v="90"/>
    <s v="M"/>
    <n v="80"/>
    <s v="D"/>
    <n v="90"/>
    <s v="M"/>
    <n v="80"/>
    <s v="D"/>
    <n v="90"/>
    <s v="P"/>
    <n v="70"/>
    <s v="D"/>
    <n v="80"/>
    <s v="D"/>
    <n v="90"/>
    <n v="750"/>
    <s v="DDD"/>
    <s v="D"/>
    <n v="90"/>
    <s v="P"/>
    <n v="70"/>
    <s v="P"/>
    <n v="70"/>
    <s v="P"/>
    <n v="70"/>
    <s v="M"/>
    <n v="80"/>
    <s v="P"/>
    <n v="70"/>
    <s v="M"/>
    <n v="80"/>
    <s v="D"/>
    <n v="90"/>
    <s v="P"/>
    <n v="70"/>
    <n v="6"/>
    <n v="5"/>
    <n v="7"/>
    <n v="1370"/>
    <s v="MMP"/>
    <n v="200"/>
    <n v="360"/>
    <s v="Under"/>
  </r>
  <r>
    <x v="0"/>
    <n v="7466567"/>
    <s v="Osman"/>
    <s v="Asher"/>
    <x v="1"/>
    <d v="1993-01-29T00:00:00"/>
    <s v="DMM"/>
    <s v="D"/>
    <n v="90"/>
    <s v="P"/>
    <n v="70"/>
    <s v="M"/>
    <n v="80"/>
    <s v="P"/>
    <n v="70"/>
    <s v="D"/>
    <n v="90"/>
    <s v="P"/>
    <n v="70"/>
    <s v="P"/>
    <n v="70"/>
    <s v="P"/>
    <n v="90"/>
    <s v="D"/>
    <n v="90"/>
    <n v="720"/>
    <s v="DMM"/>
    <s v="D"/>
    <n v="90"/>
    <s v="M"/>
    <n v="80"/>
    <s v="M"/>
    <n v="80"/>
    <s v="D"/>
    <n v="90"/>
    <s v="M"/>
    <n v="80"/>
    <s v="M"/>
    <n v="80"/>
    <s v="M"/>
    <n v="80"/>
    <s v="P"/>
    <n v="70"/>
    <s v="M"/>
    <n v="80"/>
    <n v="6"/>
    <n v="7"/>
    <n v="5"/>
    <n v="1370"/>
    <s v="MMP"/>
    <n v="200"/>
    <n v="280"/>
    <s v="Under"/>
  </r>
  <r>
    <x v="0"/>
    <n v="9547128"/>
    <s v="Thurston"/>
    <s v="Jayson"/>
    <x v="1"/>
    <d v="1991-11-02T00:00:00"/>
    <s v="MMP"/>
    <s v="M"/>
    <n v="80"/>
    <s v="P"/>
    <n v="70"/>
    <s v="M"/>
    <n v="80"/>
    <s v="D"/>
    <n v="90"/>
    <s v="D"/>
    <n v="90"/>
    <s v="M"/>
    <n v="80"/>
    <s v="M"/>
    <n v="80"/>
    <s v="M"/>
    <n v="80"/>
    <s v="D"/>
    <n v="90"/>
    <n v="740"/>
    <s v="DDM"/>
    <s v="P"/>
    <n v="70"/>
    <s v="D"/>
    <n v="90"/>
    <s v="M"/>
    <n v="80"/>
    <s v="M"/>
    <n v="80"/>
    <s v="P"/>
    <n v="70"/>
    <s v="M"/>
    <n v="80"/>
    <s v="M"/>
    <n v="80"/>
    <s v="M"/>
    <n v="80"/>
    <s v="M"/>
    <n v="80"/>
    <n v="3"/>
    <n v="11"/>
    <n v="4"/>
    <n v="1370"/>
    <s v="MMP"/>
    <n v="200"/>
    <n v="200"/>
    <s v="Same"/>
  </r>
  <r>
    <x v="1"/>
    <n v="5885604"/>
    <s v="Gilliam"/>
    <s v="Jarrod"/>
    <x v="1"/>
    <d v="1992-08-28T00:00:00"/>
    <s v="DDD"/>
    <s v="M"/>
    <n v="80"/>
    <s v="D"/>
    <n v="90"/>
    <s v="D"/>
    <n v="90"/>
    <s v="D"/>
    <n v="90"/>
    <s v="D"/>
    <n v="90"/>
    <s v="P"/>
    <n v="70"/>
    <s v="P"/>
    <n v="70"/>
    <s v="M"/>
    <n v="80"/>
    <s v="M"/>
    <n v="80"/>
    <n v="740"/>
    <s v="DDM"/>
    <s v="P"/>
    <n v="70"/>
    <s v="P"/>
    <n v="70"/>
    <s v="P"/>
    <n v="70"/>
    <s v="D"/>
    <n v="90"/>
    <s v="D"/>
    <n v="90"/>
    <s v="P"/>
    <n v="70"/>
    <s v="D"/>
    <n v="90"/>
    <s v="M"/>
    <n v="80"/>
    <s v="M"/>
    <n v="80"/>
    <n v="6"/>
    <n v="5"/>
    <n v="7"/>
    <n v="1370"/>
    <s v="MMP"/>
    <n v="200"/>
    <n v="360"/>
    <s v="Under"/>
  </r>
  <r>
    <x v="1"/>
    <n v="7725656"/>
    <s v="Moser"/>
    <s v="Gavin"/>
    <x v="1"/>
    <d v="1992-09-22T00:00:00"/>
    <s v="DDM"/>
    <s v="M"/>
    <n v="80"/>
    <s v="P"/>
    <n v="70"/>
    <s v="D"/>
    <n v="90"/>
    <s v="P"/>
    <n v="70"/>
    <s v="D"/>
    <n v="90"/>
    <s v="D"/>
    <n v="90"/>
    <s v="M"/>
    <n v="80"/>
    <s v="P"/>
    <n v="80"/>
    <s v="M"/>
    <n v="80"/>
    <n v="730"/>
    <s v="DDM"/>
    <s v="M"/>
    <n v="80"/>
    <s v="M"/>
    <n v="80"/>
    <s v="P"/>
    <n v="70"/>
    <s v="D"/>
    <n v="90"/>
    <s v="M"/>
    <n v="80"/>
    <s v="M"/>
    <n v="80"/>
    <s v="M"/>
    <n v="80"/>
    <s v="M"/>
    <n v="80"/>
    <s v="M"/>
    <n v="80"/>
    <n v="4"/>
    <n v="10"/>
    <n v="4"/>
    <n v="1370"/>
    <s v="MMP"/>
    <n v="200"/>
    <n v="320"/>
    <s v="Under"/>
  </r>
  <r>
    <x v="1"/>
    <n v="8133333"/>
    <s v="Neville"/>
    <s v="Fabian"/>
    <x v="1"/>
    <d v="1991-02-23T00:00:00"/>
    <s v="PPP"/>
    <s v="D"/>
    <n v="90"/>
    <s v="D"/>
    <n v="90"/>
    <s v="P"/>
    <n v="70"/>
    <s v="M"/>
    <n v="80"/>
    <s v="M"/>
    <n v="80"/>
    <s v="D"/>
    <n v="90"/>
    <s v="P"/>
    <n v="70"/>
    <s v="M"/>
    <n v="90"/>
    <s v="M"/>
    <n v="80"/>
    <n v="740"/>
    <s v="DDM"/>
    <s v="D"/>
    <n v="90"/>
    <s v="P"/>
    <n v="70"/>
    <s v="M"/>
    <n v="80"/>
    <s v="P"/>
    <n v="70"/>
    <s v="M"/>
    <n v="80"/>
    <s v="P"/>
    <n v="70"/>
    <s v="D"/>
    <n v="90"/>
    <s v="M"/>
    <n v="80"/>
    <s v="P"/>
    <n v="70"/>
    <n v="6"/>
    <n v="7"/>
    <n v="5"/>
    <n v="1370"/>
    <s v="MMP"/>
    <n v="200"/>
    <n v="120"/>
    <s v="Over"/>
  </r>
  <r>
    <x v="1"/>
    <n v="5059336"/>
    <s v="Stokes"/>
    <s v="Vincent"/>
    <x v="1"/>
    <d v="1992-10-08T00:00:00"/>
    <s v="DMM"/>
    <s v="D"/>
    <n v="90"/>
    <s v="D"/>
    <n v="90"/>
    <s v="P"/>
    <n v="70"/>
    <s v="P"/>
    <n v="70"/>
    <s v="M"/>
    <n v="80"/>
    <s v="P"/>
    <n v="70"/>
    <s v="D"/>
    <n v="90"/>
    <s v="M"/>
    <n v="90"/>
    <s v="M"/>
    <n v="80"/>
    <n v="730"/>
    <s v="DDM"/>
    <s v="D"/>
    <n v="90"/>
    <s v="M"/>
    <n v="80"/>
    <s v="D"/>
    <n v="90"/>
    <s v="P"/>
    <n v="70"/>
    <s v="M"/>
    <n v="80"/>
    <s v="D"/>
    <n v="90"/>
    <s v="P"/>
    <n v="70"/>
    <s v="P"/>
    <n v="70"/>
    <s v="M"/>
    <n v="80"/>
    <n v="6"/>
    <n v="6"/>
    <n v="6"/>
    <n v="1370"/>
    <s v="MMP"/>
    <n v="200"/>
    <n v="280"/>
    <s v="Under"/>
  </r>
  <r>
    <x v="3"/>
    <n v="5710107"/>
    <s v="Rivera"/>
    <s v="Salvatore"/>
    <x v="1"/>
    <d v="1990-06-18T00:00:00"/>
    <s v="DMM"/>
    <s v="M"/>
    <n v="80"/>
    <s v="D"/>
    <n v="90"/>
    <s v="D"/>
    <n v="90"/>
    <s v="P"/>
    <n v="70"/>
    <s v="P"/>
    <n v="70"/>
    <s v="P"/>
    <n v="70"/>
    <s v="M"/>
    <n v="80"/>
    <s v="M"/>
    <n v="80"/>
    <s v="D"/>
    <n v="90"/>
    <n v="720"/>
    <s v="DMM"/>
    <s v="D"/>
    <n v="90"/>
    <s v="D"/>
    <n v="90"/>
    <s v="P"/>
    <n v="70"/>
    <s v="D"/>
    <n v="90"/>
    <s v="P"/>
    <n v="70"/>
    <s v="M"/>
    <n v="80"/>
    <s v="P"/>
    <n v="70"/>
    <s v="D"/>
    <n v="90"/>
    <s v="M"/>
    <n v="80"/>
    <n v="6"/>
    <n v="5"/>
    <n v="7"/>
    <n v="1370"/>
    <s v="MMP"/>
    <n v="200"/>
    <n v="280"/>
    <s v="Under"/>
  </r>
  <r>
    <x v="2"/>
    <n v="5415265"/>
    <s v="Grantham"/>
    <s v="Gavyn"/>
    <x v="1"/>
    <d v="1992-11-22T00:00:00"/>
    <s v="PPP"/>
    <s v="D"/>
    <n v="90"/>
    <s v="D"/>
    <n v="90"/>
    <s v="D"/>
    <n v="90"/>
    <s v="M"/>
    <n v="80"/>
    <s v="P"/>
    <n v="70"/>
    <s v="M"/>
    <n v="80"/>
    <s v="M"/>
    <n v="80"/>
    <s v="M"/>
    <n v="90"/>
    <s v="D"/>
    <n v="90"/>
    <n v="760"/>
    <s v="DDD"/>
    <s v="P"/>
    <n v="70"/>
    <s v="D"/>
    <n v="90"/>
    <s v="D"/>
    <n v="90"/>
    <s v="P"/>
    <n v="70"/>
    <s v="M"/>
    <n v="80"/>
    <s v="P"/>
    <n v="70"/>
    <s v="P"/>
    <n v="70"/>
    <s v="M"/>
    <n v="80"/>
    <s v="D"/>
    <n v="90"/>
    <n v="5"/>
    <n v="6"/>
    <n v="7"/>
    <n v="1380"/>
    <s v="MMM"/>
    <n v="240"/>
    <n v="120"/>
    <s v="Over"/>
  </r>
  <r>
    <x v="0"/>
    <n v="5706191"/>
    <s v="Healy"/>
    <s v="Darian"/>
    <x v="1"/>
    <d v="1990-07-11T00:00:00"/>
    <s v="PPP"/>
    <s v="D"/>
    <n v="90"/>
    <s v="D"/>
    <n v="90"/>
    <s v="M"/>
    <n v="80"/>
    <s v="M"/>
    <n v="80"/>
    <s v="D"/>
    <n v="90"/>
    <s v="P"/>
    <n v="70"/>
    <s v="M"/>
    <n v="80"/>
    <s v="D"/>
    <n v="90"/>
    <s v="P"/>
    <n v="70"/>
    <n v="740"/>
    <s v="DDM"/>
    <s v="M"/>
    <n v="80"/>
    <s v="M"/>
    <n v="80"/>
    <s v="D"/>
    <n v="90"/>
    <s v="D"/>
    <n v="90"/>
    <s v="P"/>
    <n v="70"/>
    <s v="P"/>
    <n v="70"/>
    <s v="P"/>
    <n v="70"/>
    <s v="D"/>
    <n v="90"/>
    <s v="D"/>
    <n v="90"/>
    <n v="5"/>
    <n v="5"/>
    <n v="8"/>
    <n v="1380"/>
    <s v="MMM"/>
    <n v="240"/>
    <n v="120"/>
    <s v="Over"/>
  </r>
  <r>
    <x v="0"/>
    <n v="6283727"/>
    <s v="McClure"/>
    <s v="Aden"/>
    <x v="1"/>
    <d v="1993-02-06T00:00:00"/>
    <s v="DDD"/>
    <s v="M"/>
    <n v="80"/>
    <s v="M"/>
    <n v="80"/>
    <s v="D"/>
    <n v="90"/>
    <s v="M"/>
    <n v="80"/>
    <s v="M"/>
    <n v="80"/>
    <s v="D"/>
    <n v="90"/>
    <s v="M"/>
    <n v="80"/>
    <s v="P"/>
    <n v="80"/>
    <s v="P"/>
    <n v="70"/>
    <n v="730"/>
    <s v="DDM"/>
    <s v="P"/>
    <n v="70"/>
    <s v="P"/>
    <n v="70"/>
    <s v="D"/>
    <n v="90"/>
    <s v="D"/>
    <n v="90"/>
    <s v="D"/>
    <n v="90"/>
    <s v="M"/>
    <n v="80"/>
    <s v="D"/>
    <n v="90"/>
    <s v="P"/>
    <n v="70"/>
    <s v="D"/>
    <n v="90"/>
    <n v="5"/>
    <n v="6"/>
    <n v="7"/>
    <n v="1380"/>
    <s v="MMM"/>
    <n v="240"/>
    <n v="360"/>
    <s v="Under"/>
  </r>
  <r>
    <x v="0"/>
    <n v="5355699"/>
    <s v="Wooten"/>
    <s v="Keegan"/>
    <x v="1"/>
    <d v="1992-07-08T00:00:00"/>
    <s v="MMM"/>
    <s v="D"/>
    <n v="90"/>
    <s v="M"/>
    <n v="80"/>
    <s v="M"/>
    <n v="80"/>
    <s v="D"/>
    <n v="90"/>
    <s v="D"/>
    <n v="90"/>
    <s v="M"/>
    <n v="80"/>
    <s v="D"/>
    <n v="90"/>
    <s v="D"/>
    <n v="90"/>
    <s v="M"/>
    <n v="80"/>
    <n v="770"/>
    <s v="DDD*"/>
    <s v="M"/>
    <n v="80"/>
    <s v="M"/>
    <n v="80"/>
    <s v="P"/>
    <n v="70"/>
    <s v="D"/>
    <n v="90"/>
    <s v="P"/>
    <n v="70"/>
    <s v="P"/>
    <n v="70"/>
    <s v="P"/>
    <n v="70"/>
    <s v="M"/>
    <n v="80"/>
    <s v="D"/>
    <n v="90"/>
    <n v="4"/>
    <n v="7"/>
    <n v="7"/>
    <n v="1380"/>
    <s v="MMM"/>
    <n v="240"/>
    <n v="240"/>
    <s v="Same"/>
  </r>
  <r>
    <x v="1"/>
    <n v="9640879"/>
    <s v="Carver"/>
    <s v="Abram"/>
    <x v="1"/>
    <d v="1989-12-30T00:00:00"/>
    <s v="PPP"/>
    <s v="P"/>
    <n v="70"/>
    <s v="D"/>
    <n v="90"/>
    <s v="M"/>
    <n v="80"/>
    <s v="P"/>
    <n v="70"/>
    <s v="P"/>
    <n v="70"/>
    <s v="M"/>
    <n v="80"/>
    <s v="D"/>
    <n v="90"/>
    <s v="D"/>
    <n v="70"/>
    <s v="M"/>
    <n v="80"/>
    <n v="700"/>
    <s v="MMM"/>
    <s v="D"/>
    <n v="90"/>
    <s v="D"/>
    <n v="90"/>
    <s v="M"/>
    <n v="80"/>
    <s v="D"/>
    <n v="90"/>
    <s v="M"/>
    <n v="80"/>
    <s v="M"/>
    <n v="80"/>
    <s v="D"/>
    <n v="90"/>
    <s v="M"/>
    <n v="80"/>
    <s v="D"/>
    <n v="90"/>
    <n v="3"/>
    <n v="7"/>
    <n v="8"/>
    <n v="1380"/>
    <s v="MMM"/>
    <n v="240"/>
    <n v="120"/>
    <s v="Over"/>
  </r>
  <r>
    <x v="3"/>
    <n v="6523222"/>
    <s v="Allen"/>
    <s v="Luc"/>
    <x v="1"/>
    <d v="1990-07-24T00:00:00"/>
    <s v="DMM"/>
    <s v="M"/>
    <n v="80"/>
    <s v="M"/>
    <n v="80"/>
    <s v="M"/>
    <n v="80"/>
    <s v="M"/>
    <n v="80"/>
    <s v="D"/>
    <n v="90"/>
    <s v="M"/>
    <n v="80"/>
    <s v="M"/>
    <n v="80"/>
    <s v="M"/>
    <n v="80"/>
    <s v="M"/>
    <n v="80"/>
    <n v="730"/>
    <s v="DDM"/>
    <s v="D"/>
    <n v="90"/>
    <s v="M"/>
    <n v="80"/>
    <s v="D"/>
    <n v="90"/>
    <s v="D"/>
    <n v="90"/>
    <s v="P"/>
    <n v="70"/>
    <s v="M"/>
    <n v="80"/>
    <s v="M"/>
    <n v="80"/>
    <s v="P"/>
    <n v="70"/>
    <s v="D"/>
    <n v="90"/>
    <n v="2"/>
    <n v="11"/>
    <n v="5"/>
    <n v="1380"/>
    <s v="MMM"/>
    <n v="240"/>
    <n v="280"/>
    <s v="Under"/>
  </r>
  <r>
    <x v="0"/>
    <n v="7093490"/>
    <s v="Norwood"/>
    <s v="Chris"/>
    <x v="1"/>
    <d v="1990-01-03T00:00:00"/>
    <s v="DMM"/>
    <s v="D"/>
    <n v="90"/>
    <s v="P"/>
    <n v="70"/>
    <s v="P"/>
    <n v="70"/>
    <s v="P"/>
    <n v="70"/>
    <s v="D"/>
    <n v="90"/>
    <s v="D"/>
    <n v="90"/>
    <s v="D"/>
    <n v="90"/>
    <s v="D"/>
    <n v="90"/>
    <s v="M"/>
    <n v="80"/>
    <n v="740"/>
    <s v="DDM"/>
    <s v="M"/>
    <n v="80"/>
    <s v="M"/>
    <n v="80"/>
    <s v="D"/>
    <n v="90"/>
    <s v="M"/>
    <n v="80"/>
    <s v="M"/>
    <n v="80"/>
    <s v="M"/>
    <n v="80"/>
    <s v="M"/>
    <n v="80"/>
    <s v="M"/>
    <n v="80"/>
    <s v="D"/>
    <n v="90"/>
    <n v="3"/>
    <n v="8"/>
    <n v="7"/>
    <n v="1390"/>
    <s v="MMM"/>
    <n v="240"/>
    <n v="280"/>
    <s v="Under"/>
  </r>
  <r>
    <x v="1"/>
    <n v="7875768"/>
    <s v="Lopez"/>
    <s v="Kian"/>
    <x v="1"/>
    <d v="1990-09-27T00:00:00"/>
    <s v="DMM"/>
    <s v="M"/>
    <n v="80"/>
    <s v="D"/>
    <n v="90"/>
    <s v="D"/>
    <n v="90"/>
    <s v="M"/>
    <n v="80"/>
    <s v="P"/>
    <n v="70"/>
    <s v="P"/>
    <n v="70"/>
    <s v="D"/>
    <n v="90"/>
    <s v="D"/>
    <n v="80"/>
    <s v="D"/>
    <n v="90"/>
    <n v="740"/>
    <s v="DDM"/>
    <s v="P"/>
    <n v="70"/>
    <s v="P"/>
    <n v="70"/>
    <s v="M"/>
    <n v="80"/>
    <s v="D"/>
    <n v="90"/>
    <s v="M"/>
    <n v="80"/>
    <s v="D"/>
    <n v="90"/>
    <s v="D"/>
    <n v="90"/>
    <s v="M"/>
    <n v="80"/>
    <s v="P"/>
    <n v="70"/>
    <n v="5"/>
    <n v="5"/>
    <n v="8"/>
    <n v="1390"/>
    <s v="MMM"/>
    <n v="240"/>
    <n v="280"/>
    <s v="Under"/>
  </r>
  <r>
    <x v="1"/>
    <n v="9964030"/>
    <s v="Palmer"/>
    <s v="Ray"/>
    <x v="1"/>
    <d v="1990-09-17T00:00:00"/>
    <s v="MPP"/>
    <s v="D"/>
    <n v="90"/>
    <s v="M"/>
    <n v="80"/>
    <s v="P"/>
    <n v="70"/>
    <s v="M"/>
    <n v="80"/>
    <s v="M"/>
    <n v="80"/>
    <s v="D"/>
    <n v="90"/>
    <s v="M"/>
    <n v="80"/>
    <s v="D"/>
    <n v="90"/>
    <s v="P"/>
    <n v="70"/>
    <n v="730"/>
    <s v="DDM"/>
    <s v="P"/>
    <n v="70"/>
    <s v="M"/>
    <n v="80"/>
    <s v="M"/>
    <n v="80"/>
    <s v="M"/>
    <n v="80"/>
    <s v="M"/>
    <n v="80"/>
    <s v="D"/>
    <n v="90"/>
    <s v="D"/>
    <n v="90"/>
    <s v="D"/>
    <n v="90"/>
    <s v="D"/>
    <n v="90"/>
    <n v="3"/>
    <n v="8"/>
    <n v="7"/>
    <n v="1390"/>
    <s v="MMM"/>
    <n v="240"/>
    <n v="160"/>
    <s v="Over"/>
  </r>
  <r>
    <x v="3"/>
    <n v="9641281"/>
    <s v="Levesque"/>
    <s v="Zackary"/>
    <x v="1"/>
    <d v="1991-01-12T00:00:00"/>
    <s v="MMP"/>
    <s v="M"/>
    <n v="80"/>
    <s v="D"/>
    <n v="90"/>
    <s v="M"/>
    <n v="80"/>
    <s v="M"/>
    <n v="80"/>
    <s v="M"/>
    <n v="80"/>
    <s v="P"/>
    <n v="70"/>
    <s v="D"/>
    <n v="90"/>
    <s v="M"/>
    <n v="80"/>
    <s v="D"/>
    <n v="90"/>
    <n v="740"/>
    <s v="DDM"/>
    <s v="M"/>
    <n v="80"/>
    <s v="P"/>
    <n v="70"/>
    <s v="P"/>
    <n v="70"/>
    <s v="D"/>
    <n v="90"/>
    <s v="D"/>
    <n v="90"/>
    <s v="D"/>
    <n v="90"/>
    <s v="M"/>
    <n v="80"/>
    <s v="M"/>
    <n v="80"/>
    <s v="P"/>
    <n v="70"/>
    <n v="4"/>
    <n v="8"/>
    <n v="6"/>
    <n v="1390"/>
    <s v="MMM"/>
    <n v="240"/>
    <n v="200"/>
    <s v="Over"/>
  </r>
  <r>
    <x v="3"/>
    <n v="8522842"/>
    <s v="Warner"/>
    <s v="Shemar"/>
    <x v="1"/>
    <d v="1991-05-26T00:00:00"/>
    <s v="DDD"/>
    <s v="M"/>
    <n v="80"/>
    <s v="M"/>
    <n v="80"/>
    <s v="P"/>
    <n v="70"/>
    <s v="M"/>
    <n v="80"/>
    <s v="D"/>
    <n v="90"/>
    <s v="D"/>
    <n v="90"/>
    <s v="D"/>
    <n v="90"/>
    <s v="D"/>
    <n v="80"/>
    <s v="P"/>
    <n v="70"/>
    <n v="730"/>
    <s v="DDM"/>
    <s v="P"/>
    <n v="70"/>
    <s v="D"/>
    <n v="90"/>
    <s v="D"/>
    <n v="90"/>
    <s v="P"/>
    <n v="70"/>
    <s v="D"/>
    <n v="90"/>
    <s v="D"/>
    <n v="90"/>
    <s v="P"/>
    <n v="70"/>
    <s v="D"/>
    <n v="90"/>
    <s v="D"/>
    <n v="90"/>
    <n v="5"/>
    <n v="3"/>
    <n v="10"/>
    <n v="1390"/>
    <s v="MMM"/>
    <n v="240"/>
    <n v="360"/>
    <s v="Under"/>
  </r>
  <r>
    <x v="1"/>
    <n v="8213284"/>
    <s v="Ruiz"/>
    <s v="David"/>
    <x v="1"/>
    <d v="1991-04-03T00:00:00"/>
    <s v="DMM"/>
    <s v="M"/>
    <n v="80"/>
    <s v="M"/>
    <n v="80"/>
    <s v="M"/>
    <n v="80"/>
    <s v="D"/>
    <n v="90"/>
    <s v="P"/>
    <n v="70"/>
    <s v="M"/>
    <n v="80"/>
    <s v="M"/>
    <n v="80"/>
    <s v="P"/>
    <n v="80"/>
    <s v="D"/>
    <n v="90"/>
    <n v="730"/>
    <s v="DDM"/>
    <s v="D"/>
    <n v="90"/>
    <s v="P"/>
    <n v="70"/>
    <s v="D"/>
    <n v="90"/>
    <s v="M"/>
    <n v="80"/>
    <s v="D"/>
    <n v="90"/>
    <s v="D"/>
    <n v="90"/>
    <s v="P"/>
    <n v="70"/>
    <s v="D"/>
    <n v="90"/>
    <s v="M"/>
    <n v="80"/>
    <n v="4"/>
    <n v="7"/>
    <n v="7"/>
    <n v="1400"/>
    <s v="MMM"/>
    <n v="240"/>
    <n v="280"/>
    <s v="Under"/>
  </r>
  <r>
    <x v="2"/>
    <n v="8416014"/>
    <s v="McMahon"/>
    <s v="Hassan"/>
    <x v="1"/>
    <d v="1990-10-16T00:00:00"/>
    <s v="MPP"/>
    <s v="D"/>
    <n v="90"/>
    <s v="D"/>
    <n v="90"/>
    <s v="D"/>
    <n v="90"/>
    <s v="M"/>
    <n v="80"/>
    <s v="P"/>
    <n v="70"/>
    <s v="D"/>
    <n v="90"/>
    <s v="P"/>
    <n v="70"/>
    <s v="M"/>
    <n v="90"/>
    <s v="M"/>
    <n v="80"/>
    <n v="750"/>
    <s v="DDD"/>
    <s v="M"/>
    <n v="80"/>
    <s v="M"/>
    <n v="80"/>
    <s v="D"/>
    <n v="90"/>
    <s v="D"/>
    <n v="90"/>
    <s v="P"/>
    <n v="70"/>
    <s v="D"/>
    <n v="90"/>
    <s v="D"/>
    <n v="90"/>
    <s v="P"/>
    <n v="70"/>
    <s v="P"/>
    <n v="70"/>
    <n v="5"/>
    <n v="5"/>
    <n v="8"/>
    <n v="1410"/>
    <s v="MMM"/>
    <n v="240"/>
    <n v="160"/>
    <s v="Over"/>
  </r>
  <r>
    <x v="0"/>
    <n v="7145932"/>
    <s v="Zaman"/>
    <s v="Liam"/>
    <x v="1"/>
    <d v="1990-04-13T00:00:00"/>
    <s v="MMM"/>
    <s v="D"/>
    <n v="90"/>
    <s v="M"/>
    <n v="80"/>
    <s v="D"/>
    <n v="90"/>
    <s v="D"/>
    <n v="90"/>
    <s v="P"/>
    <n v="70"/>
    <s v="M"/>
    <n v="80"/>
    <s v="M"/>
    <n v="80"/>
    <s v="M"/>
    <n v="90"/>
    <s v="P"/>
    <n v="70"/>
    <n v="740"/>
    <s v="DDM"/>
    <s v="D"/>
    <n v="90"/>
    <s v="P"/>
    <n v="70"/>
    <s v="D"/>
    <n v="90"/>
    <s v="M"/>
    <n v="80"/>
    <s v="P"/>
    <n v="70"/>
    <s v="D"/>
    <n v="90"/>
    <s v="D"/>
    <n v="90"/>
    <s v="D"/>
    <n v="90"/>
    <s v="D"/>
    <n v="90"/>
    <n v="4"/>
    <n v="5"/>
    <n v="9"/>
    <n v="1410"/>
    <s v="MMM"/>
    <n v="240"/>
    <n v="240"/>
    <s v="Same"/>
  </r>
  <r>
    <x v="1"/>
    <n v="6170383"/>
    <s v="Dugan"/>
    <s v="Lance"/>
    <x v="1"/>
    <d v="1992-07-07T00:00:00"/>
    <s v="DDM"/>
    <s v="M"/>
    <n v="80"/>
    <s v="D"/>
    <n v="90"/>
    <s v="D"/>
    <n v="90"/>
    <s v="D"/>
    <n v="90"/>
    <s v="M"/>
    <n v="80"/>
    <s v="D"/>
    <n v="90"/>
    <s v="D"/>
    <n v="90"/>
    <s v="D"/>
    <n v="80"/>
    <s v="P"/>
    <n v="70"/>
    <n v="760"/>
    <s v="DDD"/>
    <s v="P"/>
    <n v="70"/>
    <s v="M"/>
    <n v="80"/>
    <s v="D"/>
    <n v="90"/>
    <s v="P"/>
    <n v="70"/>
    <s v="M"/>
    <n v="80"/>
    <s v="D"/>
    <n v="90"/>
    <s v="M"/>
    <n v="80"/>
    <s v="D"/>
    <n v="90"/>
    <s v="P"/>
    <n v="70"/>
    <n v="4"/>
    <n v="5"/>
    <n v="9"/>
    <n v="1410"/>
    <s v="MMM"/>
    <n v="240"/>
    <n v="320"/>
    <s v="Under"/>
  </r>
  <r>
    <x v="2"/>
    <n v="7794718"/>
    <s v="Koenig"/>
    <s v="Rene"/>
    <x v="1"/>
    <d v="1991-01-28T00:00:00"/>
    <s v="MMM"/>
    <s v="D"/>
    <n v="90"/>
    <s v="D"/>
    <n v="90"/>
    <s v="D"/>
    <n v="90"/>
    <s v="M"/>
    <n v="80"/>
    <s v="D"/>
    <n v="90"/>
    <s v="D"/>
    <n v="90"/>
    <s v="D"/>
    <n v="90"/>
    <s v="M"/>
    <n v="90"/>
    <s v="D"/>
    <n v="90"/>
    <n v="800"/>
    <s v="D*D*D*"/>
    <s v="M"/>
    <n v="80"/>
    <s v="D"/>
    <n v="90"/>
    <s v="D"/>
    <n v="90"/>
    <s v="M"/>
    <n v="80"/>
    <s v="M"/>
    <n v="80"/>
    <s v="M"/>
    <n v="80"/>
    <s v="M"/>
    <n v="80"/>
    <s v="M"/>
    <n v="80"/>
    <s v="M"/>
    <n v="80"/>
    <n v="0"/>
    <n v="9"/>
    <n v="9"/>
    <n v="1460"/>
    <s v="DDM"/>
    <n v="320"/>
    <n v="240"/>
    <s v="Ov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ANALYSIS" cacheId="1506" applyNumberFormats="0" applyBorderFormats="0" applyFontFormats="0" applyPatternFormats="0" applyAlignmentFormats="0" applyWidthHeightFormats="0" dataCaption="" updatedVersion="8" showHeaders="0" compact="0" compactData="0">
  <location ref="B33:H39" firstHeaderRow="0" firstDataRow="2" firstDataCol="1"/>
  <pivotFields count="53">
    <pivotField name="GROUP" axis="axisRow" compact="0" outline="0" multipleItemSelectionAllowed="1" showAll="0" sortType="ascending">
      <items count="5">
        <item x="2"/>
        <item x="0"/>
        <item x="1"/>
        <item x="3"/>
        <item t="default"/>
      </items>
    </pivotField>
    <pivotField name="Student Ref" compact="0" outline="0" multipleItemSelectionAllowed="1" showAll="0"/>
    <pivotField name="Surname" compact="0" outline="0" multipleItemSelectionAllowed="1" showAll="0"/>
    <pivotField name="Forenames" compact="0" outline="0" multipleItemSelectionAllowed="1" showAll="0"/>
    <pivotField name="Gender" axis="axisCol" compact="0" outline="0" multipleItemSelectionAllowed="1" showAll="0" sortType="ascending">
      <items count="3">
        <item x="0"/>
        <item x="1"/>
        <item t="default"/>
      </items>
    </pivotField>
    <pivotField name="Student DOB" compact="0" numFmtId="14" outline="0" multipleItemSelectionAllowed="1" showAll="0"/>
    <pivotField name="TARGET_x000a_GRADE" compact="0" outline="0" multipleItemSelectionAllowed="1" showAll="0"/>
    <pivotField name="Grade" compact="0" numFmtId="14" outline="0" multipleItemSelectionAllowed="1" showAll="0"/>
    <pivotField name="Points" compact="0" numFmtId="1" outline="0" multipleItemSelectionAllowed="1" showAll="0"/>
    <pivotField name="grade2" compact="0" numFmtId="14" outline="0" multipleItemSelectionAllowed="1" showAll="0"/>
    <pivotField name="points2" compact="0" numFmtId="1" outline="0" multipleItemSelectionAllowed="1" showAll="0"/>
    <pivotField name="grade3" compact="0" numFmtId="14" outline="0" multipleItemSelectionAllowed="1" showAll="0"/>
    <pivotField name="points3" compact="0" numFmtId="1" outline="0" multipleItemSelectionAllowed="1" showAll="0"/>
    <pivotField name="grade4" compact="0" numFmtId="14" outline="0" multipleItemSelectionAllowed="1" showAll="0"/>
    <pivotField name="points4" compact="0" numFmtId="1" outline="0" multipleItemSelectionAllowed="1" showAll="0"/>
    <pivotField name="grade5" compact="0" numFmtId="14" outline="0" multipleItemSelectionAllowed="1" showAll="0"/>
    <pivotField name="points5" compact="0" numFmtId="1" outline="0" multipleItemSelectionAllowed="1" showAll="0"/>
    <pivotField name="grade6" compact="0" numFmtId="14" outline="0" multipleItemSelectionAllowed="1" showAll="0"/>
    <pivotField name="points6" compact="0" numFmtId="1" outline="0" multipleItemSelectionAllowed="1" showAll="0"/>
    <pivotField name="grade7" compact="0" numFmtId="14" outline="0" multipleItemSelectionAllowed="1" showAll="0"/>
    <pivotField name="points7" compact="0" numFmtId="1" outline="0" multipleItemSelectionAllowed="1" showAll="0"/>
    <pivotField name="grade8" compact="0" numFmtId="14" outline="0" multipleItemSelectionAllowed="1" showAll="0"/>
    <pivotField name="points8" compact="0" numFmtId="1" outline="0" multipleItemSelectionAllowed="1" showAll="0"/>
    <pivotField name="grade9" compact="0" numFmtId="14" outline="0" multipleItemSelectionAllowed="1" showAll="0"/>
    <pivotField name="points9" compact="0" numFmtId="1" outline="0" multipleItemSelectionAllowed="1" showAll="0"/>
    <pivotField name="Year 1 Total" compact="0" numFmtId="1" outline="0" multipleItemSelectionAllowed="1" showAll="0"/>
    <pivotField name="Predicted Grade" compact="0" numFmtId="1" outline="0" multipleItemSelectionAllowed="1" showAll="0"/>
    <pivotField name="grade10" compact="0" numFmtId="14" outline="0" multipleItemSelectionAllowed="1" showAll="0"/>
    <pivotField name="points10" compact="0" numFmtId="1" outline="0" multipleItemSelectionAllowed="1" showAll="0"/>
    <pivotField name="grade11" compact="0" numFmtId="14" outline="0" multipleItemSelectionAllowed="1" showAll="0"/>
    <pivotField name="points11" compact="0" numFmtId="1" outline="0" multipleItemSelectionAllowed="1" showAll="0"/>
    <pivotField name="grade12" compact="0" numFmtId="14" outline="0" multipleItemSelectionAllowed="1" showAll="0"/>
    <pivotField name="points12" compact="0" numFmtId="1" outline="0" multipleItemSelectionAllowed="1" showAll="0"/>
    <pivotField name="grade13" compact="0" numFmtId="14" outline="0" multipleItemSelectionAllowed="1" showAll="0"/>
    <pivotField name="points13" compact="0" numFmtId="1" outline="0" multipleItemSelectionAllowed="1" showAll="0"/>
    <pivotField name="grade14" compact="0" numFmtId="14" outline="0" multipleItemSelectionAllowed="1" showAll="0"/>
    <pivotField name="points14" compact="0" numFmtId="1" outline="0" multipleItemSelectionAllowed="1" showAll="0"/>
    <pivotField name="grade15" compact="0" numFmtId="14" outline="0" multipleItemSelectionAllowed="1" showAll="0"/>
    <pivotField name="points15" compact="0" numFmtId="1" outline="0" multipleItemSelectionAllowed="1" showAll="0"/>
    <pivotField name="grade16" compact="0" numFmtId="14" outline="0" multipleItemSelectionAllowed="1" showAll="0"/>
    <pivotField name="points16" compact="0" numFmtId="1" outline="0" multipleItemSelectionAllowed="1" showAll="0"/>
    <pivotField name="grade17" compact="0" numFmtId="14" outline="0" multipleItemSelectionAllowed="1" showAll="0"/>
    <pivotField name="points17" compact="0" numFmtId="1" outline="0" multipleItemSelectionAllowed="1" showAll="0"/>
    <pivotField name="grade18" compact="0" numFmtId="14" outline="0" multipleItemSelectionAllowed="1" showAll="0"/>
    <pivotField name="points18" compact="0" outline="0" multipleItemSelectionAllowed="1" showAll="0"/>
    <pivotField name="Passes" compact="0" outline="0" multipleItemSelectionAllowed="1" showAll="0"/>
    <pivotField name="Merits" compact="0" outline="0" multipleItemSelectionAllowed="1" showAll="0"/>
    <pivotField name="Dist." compact="0" outline="0" multipleItemSelectionAllowed="1" showAll="0"/>
    <pivotField name="Overall" dataField="1" compact="0" numFmtId="1" outline="0" multipleItemSelectionAllowed="1" showAll="0"/>
    <pivotField name="Final Grade" compact="0" outline="0" multipleItemSelectionAllowed="1" showAll="0"/>
    <pivotField name="UCAS Points" compact="0" outline="0" multipleItemSelectionAllowed="1" showAll="0"/>
    <pivotField name="Target UCAS" compact="0" outline="0" multipleItemSelectionAllowed="1" showAll="0"/>
    <pivotField name="Achieved Target UCAS" compact="0" outline="0" multipleItemSelectionAllowed="1" showAll="0"/>
  </pivotFields>
  <rowFields count="1">
    <field x="0"/>
  </rowFields>
  <rowItems count="5">
    <i>
      <x/>
    </i>
    <i>
      <x v="1"/>
    </i>
    <i>
      <x v="2"/>
    </i>
    <i>
      <x v="3"/>
    </i>
    <i t="grand">
      <x/>
    </i>
  </rowItems>
  <colFields count="2">
    <field x="4"/>
    <field x="-2"/>
  </colFields>
  <colItems count="6">
    <i>
      <x/>
      <x/>
    </i>
    <i r="1" i="1">
      <x v="1"/>
    </i>
    <i>
      <x v="1"/>
      <x/>
    </i>
    <i r="1" i="1">
      <x v="1"/>
    </i>
    <i t="grand">
      <x/>
    </i>
    <i t="grand" i="1">
      <x/>
    </i>
  </colItems>
  <dataFields count="2">
    <dataField name="SUM of Overall" fld="48" baseField="0"/>
    <dataField name="AVERAGE of Overall" fld="48"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D103"/>
  <sheetViews>
    <sheetView tabSelected="1" workbookViewId="0"/>
  </sheetViews>
  <sheetFormatPr defaultColWidth="15.140625" defaultRowHeight="15.75" customHeight="1"/>
  <cols>
    <col min="1" max="2" width="8" customWidth="1"/>
    <col min="3" max="3" width="12.42578125" customWidth="1"/>
    <col min="4" max="4" width="15.28515625" customWidth="1"/>
    <col min="5" max="5" width="8" customWidth="1"/>
    <col min="6" max="7" width="8.85546875" customWidth="1"/>
    <col min="8" max="26" width="4.7109375" customWidth="1"/>
    <col min="27" max="27" width="6.42578125" customWidth="1"/>
    <col min="28" max="44" width="4.7109375" customWidth="1"/>
    <col min="45" max="45" width="4.42578125" customWidth="1"/>
    <col min="46" max="48" width="4.7109375" customWidth="1"/>
    <col min="49" max="49" width="7.140625" customWidth="1"/>
    <col min="50" max="51" width="4.7109375" customWidth="1"/>
    <col min="52" max="56" width="8" customWidth="1"/>
  </cols>
  <sheetData>
    <row r="1" spans="1:56" ht="11.25" customHeight="1">
      <c r="A1" s="2"/>
      <c r="B1" s="2"/>
      <c r="C1" s="1"/>
      <c r="D1" s="1"/>
      <c r="E1" s="1"/>
      <c r="F1" s="2"/>
      <c r="G1" s="2"/>
      <c r="H1" s="2">
        <v>1</v>
      </c>
      <c r="I1" s="2"/>
      <c r="J1" s="2">
        <v>2</v>
      </c>
      <c r="K1" s="2"/>
      <c r="L1" s="2">
        <v>29</v>
      </c>
      <c r="M1" s="2"/>
      <c r="N1" s="2">
        <v>6</v>
      </c>
      <c r="O1" s="2"/>
      <c r="P1" s="2">
        <v>14</v>
      </c>
      <c r="Q1" s="2"/>
      <c r="R1" s="2">
        <v>22</v>
      </c>
      <c r="S1" s="2"/>
      <c r="T1" s="2">
        <v>40</v>
      </c>
      <c r="U1" s="2"/>
      <c r="V1" s="2">
        <v>18</v>
      </c>
      <c r="W1" s="2"/>
      <c r="X1" s="2">
        <v>21</v>
      </c>
      <c r="Y1" s="2"/>
      <c r="Z1" s="2"/>
      <c r="AA1" s="2"/>
      <c r="AB1" s="2">
        <v>3</v>
      </c>
      <c r="AC1" s="1"/>
      <c r="AD1" s="2">
        <v>30</v>
      </c>
      <c r="AE1" s="1"/>
      <c r="AF1" s="2">
        <v>8</v>
      </c>
      <c r="AG1" s="1"/>
      <c r="AH1" s="2">
        <v>31</v>
      </c>
      <c r="AI1" s="1"/>
      <c r="AJ1" s="2">
        <v>42</v>
      </c>
      <c r="AK1" s="2"/>
      <c r="AL1" s="2">
        <v>20</v>
      </c>
      <c r="AM1" s="1"/>
      <c r="AN1" s="2">
        <v>28</v>
      </c>
      <c r="AO1" s="1"/>
      <c r="AP1" s="2">
        <v>23</v>
      </c>
      <c r="AQ1" s="1"/>
      <c r="AR1" s="2">
        <v>42</v>
      </c>
      <c r="AS1" s="1"/>
      <c r="AT1" s="1"/>
      <c r="AU1" s="1"/>
      <c r="AV1" s="1"/>
      <c r="AW1" s="1"/>
      <c r="AX1" s="3"/>
      <c r="AY1" s="1"/>
      <c r="AZ1" s="2"/>
      <c r="BA1" s="2"/>
      <c r="BB1" s="4"/>
      <c r="BC1" s="4"/>
      <c r="BD1" s="4"/>
    </row>
    <row r="2" spans="1:56" ht="11.25" customHeight="1">
      <c r="A2" s="2"/>
      <c r="B2" s="2"/>
      <c r="C2" s="1"/>
      <c r="D2" s="1"/>
      <c r="E2" s="1"/>
      <c r="F2" s="2"/>
      <c r="G2" s="2"/>
      <c r="H2" s="2" t="str">
        <f>VLOOKUP(H1,UNITS,3,FALSE)</f>
        <v>CESIT</v>
      </c>
      <c r="I2" s="2"/>
      <c r="J2" s="2" t="str">
        <f>VLOOKUP(J1,UNITS,3,FALSE)</f>
        <v>CS</v>
      </c>
      <c r="K2" s="2"/>
      <c r="L2" s="2" t="str">
        <f>VLOOKUP(L1,UNITS,3,FALSE)</f>
        <v>IUS</v>
      </c>
      <c r="M2" s="2"/>
      <c r="N2" s="2" t="str">
        <f>VLOOKUP(N1,UNITS,3,FALSE)</f>
        <v>SDD</v>
      </c>
      <c r="O2" s="2"/>
      <c r="P2" s="2" t="str">
        <f>VLOOKUP(P1,UNITS,3,FALSE)</f>
        <v>EDP</v>
      </c>
      <c r="Q2" s="2"/>
      <c r="R2" s="2" t="str">
        <f>VLOOKUP(R1,UNITS,3,FALSE)</f>
        <v>DCG</v>
      </c>
      <c r="S2" s="2"/>
      <c r="T2" s="2" t="str">
        <f>VLOOKUP(T1,UNITS,3,FALSE)</f>
        <v>CGD</v>
      </c>
      <c r="U2" s="2"/>
      <c r="V2" s="2" t="str">
        <f>VLOOKUP(V1,UNITS,3,FALSE)</f>
        <v>DBD</v>
      </c>
      <c r="W2" s="2"/>
      <c r="X2" s="2" t="str">
        <f>VLOOKUP(X1,UNITS,3,FALSE)</f>
        <v>DAD</v>
      </c>
      <c r="Y2" s="2"/>
      <c r="Z2" s="2"/>
      <c r="AA2" s="2"/>
      <c r="AB2" s="2" t="str">
        <f>VLOOKUP(AB1,UNITS,3,FALSE)</f>
        <v>IS</v>
      </c>
      <c r="AC2" s="1"/>
      <c r="AD2" s="2" t="str">
        <f>VLOOKUP(AD1,UNITS,3,FALSE)</f>
        <v>GR</v>
      </c>
      <c r="AE2" s="1"/>
      <c r="AF2" s="2" t="str">
        <f>VLOOKUP(AF1,UNITS,3,FALSE)</f>
        <v>eCOM</v>
      </c>
      <c r="AG2" s="1"/>
      <c r="AH2" s="2" t="str">
        <f>VLOOKUP(AH1,UNITS,3,FALSE)</f>
        <v>ANI</v>
      </c>
      <c r="AI2" s="1"/>
      <c r="AJ2" s="2" t="str">
        <f>VLOOKUP(AJ1,UNITS,3,FALSE)</f>
        <v>SSM</v>
      </c>
      <c r="AK2" s="2"/>
      <c r="AL2" s="2" t="str">
        <f>VLOOKUP(AL1,UNITS,3,FALSE)</f>
        <v>CSC</v>
      </c>
      <c r="AM2" s="1"/>
      <c r="AN2" s="2" t="str">
        <f>VLOOKUP(AN1,UNITS,3,FALSE)</f>
        <v>WSP</v>
      </c>
      <c r="AO2" s="1"/>
      <c r="AP2" s="2" t="str">
        <f>VLOOKUP(AP1,UNITS,3,FALSE)</f>
        <v>HCI</v>
      </c>
      <c r="AQ2" s="1"/>
      <c r="AR2" s="2" t="str">
        <f>VLOOKUP(AR1,UNITS,3,FALSE)</f>
        <v>SSM</v>
      </c>
      <c r="AS2" s="1"/>
      <c r="AT2" s="1"/>
      <c r="AU2" s="1"/>
      <c r="AV2" s="1"/>
      <c r="AW2" s="1"/>
      <c r="AX2" s="3"/>
      <c r="AY2" s="1"/>
      <c r="AZ2" s="2"/>
      <c r="BA2" s="2"/>
      <c r="BB2" s="4"/>
      <c r="BC2" s="4"/>
      <c r="BD2" s="4"/>
    </row>
    <row r="3" spans="1:56" ht="22.5" customHeight="1">
      <c r="A3" s="5" t="s">
        <v>0</v>
      </c>
      <c r="B3" s="5" t="s">
        <v>1</v>
      </c>
      <c r="C3" s="5" t="s">
        <v>2</v>
      </c>
      <c r="D3" s="5" t="s">
        <v>3</v>
      </c>
      <c r="E3" s="5" t="s">
        <v>4</v>
      </c>
      <c r="F3" s="5" t="s">
        <v>5</v>
      </c>
      <c r="G3" s="5" t="s">
        <v>6</v>
      </c>
      <c r="H3" s="5" t="s">
        <v>7</v>
      </c>
      <c r="I3" s="5" t="s">
        <v>8</v>
      </c>
      <c r="J3" s="5" t="s">
        <v>7</v>
      </c>
      <c r="K3" s="5" t="s">
        <v>8</v>
      </c>
      <c r="L3" s="5" t="s">
        <v>7</v>
      </c>
      <c r="M3" s="5" t="s">
        <v>8</v>
      </c>
      <c r="N3" s="5" t="s">
        <v>7</v>
      </c>
      <c r="O3" s="5" t="s">
        <v>8</v>
      </c>
      <c r="P3" s="5" t="s">
        <v>7</v>
      </c>
      <c r="Q3" s="5" t="s">
        <v>8</v>
      </c>
      <c r="R3" s="5" t="s">
        <v>7</v>
      </c>
      <c r="S3" s="5" t="s">
        <v>8</v>
      </c>
      <c r="T3" s="5" t="s">
        <v>7</v>
      </c>
      <c r="U3" s="5" t="s">
        <v>8</v>
      </c>
      <c r="V3" s="5" t="s">
        <v>7</v>
      </c>
      <c r="W3" s="5" t="s">
        <v>8</v>
      </c>
      <c r="X3" s="5" t="s">
        <v>7</v>
      </c>
      <c r="Y3" s="5" t="s">
        <v>8</v>
      </c>
      <c r="Z3" s="5" t="s">
        <v>9</v>
      </c>
      <c r="AA3" s="5" t="s">
        <v>10</v>
      </c>
      <c r="AB3" s="5" t="s">
        <v>7</v>
      </c>
      <c r="AC3" s="5" t="s">
        <v>8</v>
      </c>
      <c r="AD3" s="6" t="s">
        <v>7</v>
      </c>
      <c r="AE3" s="6" t="s">
        <v>8</v>
      </c>
      <c r="AF3" s="6" t="s">
        <v>7</v>
      </c>
      <c r="AG3" s="6" t="s">
        <v>8</v>
      </c>
      <c r="AH3" s="6" t="s">
        <v>7</v>
      </c>
      <c r="AI3" s="6" t="s">
        <v>8</v>
      </c>
      <c r="AJ3" s="6" t="s">
        <v>7</v>
      </c>
      <c r="AK3" s="6" t="s">
        <v>8</v>
      </c>
      <c r="AL3" s="6" t="s">
        <v>7</v>
      </c>
      <c r="AM3" s="6" t="s">
        <v>8</v>
      </c>
      <c r="AN3" s="6" t="s">
        <v>7</v>
      </c>
      <c r="AO3" s="6" t="s">
        <v>8</v>
      </c>
      <c r="AP3" s="6" t="s">
        <v>7</v>
      </c>
      <c r="AQ3" s="6" t="s">
        <v>8</v>
      </c>
      <c r="AR3" s="6" t="s">
        <v>7</v>
      </c>
      <c r="AS3" s="7" t="s">
        <v>8</v>
      </c>
      <c r="AT3" s="5" t="s">
        <v>11</v>
      </c>
      <c r="AU3" s="6" t="s">
        <v>12</v>
      </c>
      <c r="AV3" s="5" t="s">
        <v>13</v>
      </c>
      <c r="AW3" s="6" t="s">
        <v>14</v>
      </c>
      <c r="AX3" s="8" t="s">
        <v>15</v>
      </c>
      <c r="AY3" s="9" t="s">
        <v>16</v>
      </c>
      <c r="AZ3" s="5" t="s">
        <v>17</v>
      </c>
      <c r="BA3" s="5" t="s">
        <v>18</v>
      </c>
      <c r="BB3" s="10"/>
      <c r="BC3" s="11"/>
      <c r="BD3" s="11"/>
    </row>
    <row r="4" spans="1:56" ht="11.25" customHeight="1">
      <c r="A4" s="13">
        <v>2</v>
      </c>
      <c r="B4" s="13">
        <v>8491053</v>
      </c>
      <c r="C4" s="12" t="s">
        <v>19</v>
      </c>
      <c r="D4" s="12" t="s">
        <v>20</v>
      </c>
      <c r="E4" s="13" t="s">
        <v>21</v>
      </c>
      <c r="F4" s="14">
        <v>33279</v>
      </c>
      <c r="G4" s="13" t="s">
        <v>22</v>
      </c>
      <c r="H4" s="16" t="s">
        <v>23</v>
      </c>
      <c r="I4" s="15">
        <f>IF(ISBLANK(H4),0,VLOOKUP(H4,UNITGRADES,2,FALSE))</f>
        <v>70</v>
      </c>
      <c r="J4" s="16" t="s">
        <v>24</v>
      </c>
      <c r="K4" s="15">
        <f>IF(ISBLANK(J4),0,VLOOKUP(J4,UNITGRADES,2,FALSE))</f>
        <v>80</v>
      </c>
      <c r="L4" s="16" t="s">
        <v>24</v>
      </c>
      <c r="M4" s="15">
        <f>IF(ISBLANK(L4),0,VLOOKUP(L4,UNITGRADES,2,FALSE))</f>
        <v>80</v>
      </c>
      <c r="N4" s="16" t="s">
        <v>23</v>
      </c>
      <c r="O4" s="15">
        <f>IF(ISBLANK(N4),0,VLOOKUP(N4,UNITGRADES,2,FALSE))</f>
        <v>70</v>
      </c>
      <c r="P4" s="16" t="s">
        <v>23</v>
      </c>
      <c r="Q4" s="15">
        <f>IF(ISBLANK(P4),0,VLOOKUP(P4,UNITGRADES,2,FALSE))</f>
        <v>70</v>
      </c>
      <c r="R4" s="16" t="s">
        <v>23</v>
      </c>
      <c r="S4" s="15">
        <f>IF(ISBLANK(R4),0,VLOOKUP(R4,UNITGRADES,2,FALSE))</f>
        <v>70</v>
      </c>
      <c r="T4" s="16" t="s">
        <v>24</v>
      </c>
      <c r="U4" s="15">
        <f>IF(ISBLANK(T4),0,VLOOKUP(T4,UNITGRADES,2,FALSE))</f>
        <v>80</v>
      </c>
      <c r="V4" s="16" t="s">
        <v>23</v>
      </c>
      <c r="W4" s="15">
        <f>IF(ISBLANK(H4),0,VLOOKUP(H4,UNITGRADES,2,FALSE))</f>
        <v>70</v>
      </c>
      <c r="X4" s="16" t="s">
        <v>24</v>
      </c>
      <c r="Y4" s="15">
        <f>IF(ISBLANK(X4),0,VLOOKUP(X4,UNITGRADES,2,FALSE))</f>
        <v>80</v>
      </c>
      <c r="Z4" s="15">
        <f t="shared" ref="Z4:Z103" si="0">SUM(H4:Y4)</f>
        <v>670</v>
      </c>
      <c r="AA4" s="15" t="str">
        <f>VLOOKUP(Z4*2,FINALGRADES,3,TRUE)</f>
        <v>MMP</v>
      </c>
      <c r="AB4" s="16" t="s">
        <v>24</v>
      </c>
      <c r="AC4" s="15">
        <f>IF(ISBLANK(AB4),0,VLOOKUP(AB4,UNITGRADES,2,FALSE))</f>
        <v>80</v>
      </c>
      <c r="AD4" s="16" t="s">
        <v>24</v>
      </c>
      <c r="AE4" s="15">
        <f>IF(ISBLANK(AD4),0,VLOOKUP(AD4,UNITGRADES,2,FALSE))</f>
        <v>80</v>
      </c>
      <c r="AF4" s="16" t="s">
        <v>25</v>
      </c>
      <c r="AG4" s="15">
        <f>IF(ISBLANK(AF4),0,VLOOKUP(AF4,UNITGRADES,2,FALSE))</f>
        <v>90</v>
      </c>
      <c r="AH4" s="16" t="s">
        <v>24</v>
      </c>
      <c r="AI4" s="15">
        <f>IF(ISBLANK(AH4),0,VLOOKUP(AH4,UNITGRADES,2,FALSE))</f>
        <v>80</v>
      </c>
      <c r="AJ4" s="16" t="s">
        <v>25</v>
      </c>
      <c r="AK4" s="15">
        <f>IF(ISBLANK(AJ4),0,VLOOKUP(AJ4,UNITGRADES,2,FALSE))</f>
        <v>90</v>
      </c>
      <c r="AL4" s="16" t="s">
        <v>23</v>
      </c>
      <c r="AM4" s="15">
        <f>IF(ISBLANK(AL4),0,VLOOKUP(AL4,UNITGRADES,2,FALSE))</f>
        <v>70</v>
      </c>
      <c r="AN4" s="16" t="s">
        <v>23</v>
      </c>
      <c r="AO4" s="15">
        <f>IF(ISBLANK(AN4),0,VLOOKUP(AN4,UNITGRADES,2,FALSE))</f>
        <v>70</v>
      </c>
      <c r="AP4" s="16" t="s">
        <v>23</v>
      </c>
      <c r="AQ4" s="15">
        <f>IF(ISBLANK(AP4),0,VLOOKUP(AP4,UNITGRADES,2,FALSE))</f>
        <v>70</v>
      </c>
      <c r="AR4" s="16" t="s">
        <v>24</v>
      </c>
      <c r="AS4" s="11">
        <f>IF(ISBLANK(AR4),0,VLOOKUP(AR4,UNITGRADES,2,FALSE))</f>
        <v>80</v>
      </c>
      <c r="AT4" s="13">
        <f t="shared" ref="AT4:AT103" si="1">COUNTIF(H4:AR4,"p")</f>
        <v>8</v>
      </c>
      <c r="AU4" s="13">
        <f t="shared" ref="AU4:AU103" si="2">COUNTIF(H4:AR4,"m")</f>
        <v>8</v>
      </c>
      <c r="AV4" s="13">
        <f t="shared" ref="AV4:AV103" si="3">COUNTIF(H4:AR4,"d")</f>
        <v>2</v>
      </c>
      <c r="AW4" s="17">
        <f t="shared" ref="AW4:AW103" si="4">Z4+SUM(AB4:AR4)</f>
        <v>1300</v>
      </c>
      <c r="AX4" s="18" t="str">
        <f>VLOOKUP(AW4,FINALGRADES,3,TRUE)</f>
        <v>MPP</v>
      </c>
      <c r="AY4" s="10">
        <f>VLOOKUP(AW4,FINALGRADES,4,TRUE)</f>
        <v>160</v>
      </c>
      <c r="AZ4" s="11">
        <f>VLOOKUP(G4,TARGETPOINTS,2,FALSE)</f>
        <v>160</v>
      </c>
      <c r="BA4" s="11" t="str">
        <f t="shared" ref="BA4:BA103" si="5">IF(AY4&gt;AZ4,"Over",IF(AY4&lt;AZ4,"Under","Same"))</f>
        <v>Same</v>
      </c>
      <c r="BB4" s="10"/>
      <c r="BC4" s="11" t="s">
        <v>26</v>
      </c>
      <c r="BD4" s="11"/>
    </row>
    <row r="5" spans="1:56" ht="11.25" customHeight="1">
      <c r="A5" s="13">
        <v>3</v>
      </c>
      <c r="B5" s="13">
        <v>9433544</v>
      </c>
      <c r="C5" s="12" t="s">
        <v>27</v>
      </c>
      <c r="D5" s="12" t="s">
        <v>28</v>
      </c>
      <c r="E5" s="13" t="s">
        <v>21</v>
      </c>
      <c r="F5" s="14">
        <v>32990</v>
      </c>
      <c r="G5" s="13" t="s">
        <v>29</v>
      </c>
      <c r="H5" s="16" t="s">
        <v>23</v>
      </c>
      <c r="I5" s="15">
        <f>IF(ISBLANK(H5),0,VLOOKUP(H5,UNITGRADES,2,FALSE))</f>
        <v>70</v>
      </c>
      <c r="J5" s="16" t="s">
        <v>23</v>
      </c>
      <c r="K5" s="15">
        <f>IF(ISBLANK(J5),0,VLOOKUP(J5,UNITGRADES,2,FALSE))</f>
        <v>70</v>
      </c>
      <c r="L5" s="16" t="s">
        <v>24</v>
      </c>
      <c r="M5" s="15">
        <f>IF(ISBLANK(L5),0,VLOOKUP(L5,UNITGRADES,2,FALSE))</f>
        <v>80</v>
      </c>
      <c r="N5" s="16" t="s">
        <v>23</v>
      </c>
      <c r="O5" s="15">
        <f>IF(ISBLANK(N5),0,VLOOKUP(N5,UNITGRADES,2,FALSE))</f>
        <v>70</v>
      </c>
      <c r="P5" s="16" t="s">
        <v>24</v>
      </c>
      <c r="Q5" s="15">
        <f>IF(ISBLANK(P5),0,VLOOKUP(P5,UNITGRADES,2,FALSE))</f>
        <v>80</v>
      </c>
      <c r="R5" s="16" t="s">
        <v>24</v>
      </c>
      <c r="S5" s="15">
        <f>IF(ISBLANK(R5),0,VLOOKUP(R5,UNITGRADES,2,FALSE))</f>
        <v>80</v>
      </c>
      <c r="T5" s="16" t="s">
        <v>24</v>
      </c>
      <c r="U5" s="15">
        <f>IF(ISBLANK(T5),0,VLOOKUP(T5,UNITGRADES,2,FALSE))</f>
        <v>80</v>
      </c>
      <c r="V5" s="16" t="s">
        <v>25</v>
      </c>
      <c r="W5" s="15">
        <f>IF(ISBLANK(H5),0,VLOOKUP(H5,UNITGRADES,2,FALSE))</f>
        <v>70</v>
      </c>
      <c r="X5" s="16" t="s">
        <v>23</v>
      </c>
      <c r="Y5" s="15">
        <f>IF(ISBLANK(X5),0,VLOOKUP(X5,UNITGRADES,2,FALSE))</f>
        <v>70</v>
      </c>
      <c r="Z5" s="15">
        <f t="shared" si="0"/>
        <v>670</v>
      </c>
      <c r="AA5" s="15" t="str">
        <f>VLOOKUP(Z5*2,FINALGRADES,3,TRUE)</f>
        <v>MMP</v>
      </c>
      <c r="AB5" s="16" t="s">
        <v>25</v>
      </c>
      <c r="AC5" s="15">
        <f>IF(ISBLANK(AB5),0,VLOOKUP(AB5,UNITGRADES,2,FALSE))</f>
        <v>90</v>
      </c>
      <c r="AD5" s="16" t="s">
        <v>23</v>
      </c>
      <c r="AE5" s="15">
        <f>IF(ISBLANK(AD5),0,VLOOKUP(AD5,UNITGRADES,2,FALSE))</f>
        <v>70</v>
      </c>
      <c r="AF5" s="16" t="s">
        <v>25</v>
      </c>
      <c r="AG5" s="15">
        <f>IF(ISBLANK(AF5),0,VLOOKUP(AF5,UNITGRADES,2,FALSE))</f>
        <v>90</v>
      </c>
      <c r="AH5" s="16" t="s">
        <v>23</v>
      </c>
      <c r="AI5" s="15">
        <f>IF(ISBLANK(AH5),0,VLOOKUP(AH5,UNITGRADES,2,FALSE))</f>
        <v>70</v>
      </c>
      <c r="AJ5" s="16" t="s">
        <v>23</v>
      </c>
      <c r="AK5" s="15">
        <f>IF(ISBLANK(AJ5),0,VLOOKUP(AJ5,UNITGRADES,2,FALSE))</f>
        <v>70</v>
      </c>
      <c r="AL5" s="16" t="s">
        <v>23</v>
      </c>
      <c r="AM5" s="15">
        <f>IF(ISBLANK(AL5),0,VLOOKUP(AL5,UNITGRADES,2,FALSE))</f>
        <v>70</v>
      </c>
      <c r="AN5" s="16" t="s">
        <v>25</v>
      </c>
      <c r="AO5" s="15">
        <f>IF(ISBLANK(AN5),0,VLOOKUP(AN5,UNITGRADES,2,FALSE))</f>
        <v>90</v>
      </c>
      <c r="AP5" s="16" t="s">
        <v>24</v>
      </c>
      <c r="AQ5" s="15">
        <f>IF(ISBLANK(AP5),0,VLOOKUP(AP5,UNITGRADES,2,FALSE))</f>
        <v>80</v>
      </c>
      <c r="AR5" s="16" t="s">
        <v>25</v>
      </c>
      <c r="AS5" s="11">
        <f>IF(ISBLANK(AR5),0,VLOOKUP(AR5,UNITGRADES,2,FALSE))</f>
        <v>90</v>
      </c>
      <c r="AT5" s="13">
        <f t="shared" si="1"/>
        <v>8</v>
      </c>
      <c r="AU5" s="13">
        <f t="shared" si="2"/>
        <v>5</v>
      </c>
      <c r="AV5" s="13">
        <f t="shared" si="3"/>
        <v>5</v>
      </c>
      <c r="AW5" s="17">
        <f t="shared" si="4"/>
        <v>1300</v>
      </c>
      <c r="AX5" s="18" t="str">
        <f>VLOOKUP(AW5,FINALGRADES,3,TRUE)</f>
        <v>MPP</v>
      </c>
      <c r="AY5" s="10">
        <f>VLOOKUP(AW5,FINALGRADES,4,TRUE)</f>
        <v>160</v>
      </c>
      <c r="AZ5" s="11">
        <f>VLOOKUP(G5,TARGETPOINTS,2,FALSE)</f>
        <v>360</v>
      </c>
      <c r="BA5" s="11" t="str">
        <f t="shared" si="5"/>
        <v>Under</v>
      </c>
      <c r="BB5" s="10"/>
      <c r="BC5" s="11"/>
      <c r="BD5" s="11"/>
    </row>
    <row r="6" spans="1:56" ht="11.25" customHeight="1">
      <c r="A6" s="13">
        <v>1</v>
      </c>
      <c r="B6" s="13">
        <v>5516713</v>
      </c>
      <c r="C6" s="12" t="s">
        <v>30</v>
      </c>
      <c r="D6" s="12" t="s">
        <v>31</v>
      </c>
      <c r="E6" s="13" t="s">
        <v>21</v>
      </c>
      <c r="F6" s="14">
        <v>33861</v>
      </c>
      <c r="G6" s="13" t="s">
        <v>32</v>
      </c>
      <c r="H6" s="16" t="s">
        <v>24</v>
      </c>
      <c r="I6" s="15">
        <f>IF(ISBLANK(H6),0,VLOOKUP(H6,UNITGRADES,2,FALSE))</f>
        <v>80</v>
      </c>
      <c r="J6" s="16" t="s">
        <v>23</v>
      </c>
      <c r="K6" s="15">
        <f>IF(ISBLANK(J6),0,VLOOKUP(J6,UNITGRADES,2,FALSE))</f>
        <v>70</v>
      </c>
      <c r="L6" s="16" t="s">
        <v>23</v>
      </c>
      <c r="M6" s="15">
        <f>IF(ISBLANK(L6),0,VLOOKUP(L6,UNITGRADES,2,FALSE))</f>
        <v>70</v>
      </c>
      <c r="N6" s="16" t="s">
        <v>25</v>
      </c>
      <c r="O6" s="15">
        <f>IF(ISBLANK(N6),0,VLOOKUP(N6,UNITGRADES,2,FALSE))</f>
        <v>90</v>
      </c>
      <c r="P6" s="16" t="s">
        <v>25</v>
      </c>
      <c r="Q6" s="15">
        <f>IF(ISBLANK(P6),0,VLOOKUP(P6,UNITGRADES,2,FALSE))</f>
        <v>90</v>
      </c>
      <c r="R6" s="16" t="s">
        <v>23</v>
      </c>
      <c r="S6" s="15">
        <f>IF(ISBLANK(R6),0,VLOOKUP(R6,UNITGRADES,2,FALSE))</f>
        <v>70</v>
      </c>
      <c r="T6" s="16" t="s">
        <v>23</v>
      </c>
      <c r="U6" s="15">
        <f>IF(ISBLANK(T6),0,VLOOKUP(T6,UNITGRADES,2,FALSE))</f>
        <v>70</v>
      </c>
      <c r="V6" s="16" t="s">
        <v>25</v>
      </c>
      <c r="W6" s="15">
        <f>IF(ISBLANK(H6),0,VLOOKUP(H6,UNITGRADES,2,FALSE))</f>
        <v>80</v>
      </c>
      <c r="X6" s="16" t="s">
        <v>23</v>
      </c>
      <c r="Y6" s="15">
        <f>IF(ISBLANK(X6),0,VLOOKUP(X6,UNITGRADES,2,FALSE))</f>
        <v>70</v>
      </c>
      <c r="Z6" s="15">
        <f t="shared" si="0"/>
        <v>690</v>
      </c>
      <c r="AA6" s="15" t="str">
        <f>VLOOKUP(Z6*2,FINALGRADES,3,TRUE)</f>
        <v>MMM</v>
      </c>
      <c r="AB6" s="16" t="s">
        <v>23</v>
      </c>
      <c r="AC6" s="15">
        <f>IF(ISBLANK(AB6),0,VLOOKUP(AB6,UNITGRADES,2,FALSE))</f>
        <v>70</v>
      </c>
      <c r="AD6" s="16" t="s">
        <v>23</v>
      </c>
      <c r="AE6" s="15">
        <f>IF(ISBLANK(AD6),0,VLOOKUP(AD6,UNITGRADES,2,FALSE))</f>
        <v>70</v>
      </c>
      <c r="AF6" s="16" t="s">
        <v>23</v>
      </c>
      <c r="AG6" s="15">
        <f>IF(ISBLANK(AF6),0,VLOOKUP(AF6,UNITGRADES,2,FALSE))</f>
        <v>70</v>
      </c>
      <c r="AH6" s="16" t="s">
        <v>25</v>
      </c>
      <c r="AI6" s="15">
        <f>IF(ISBLANK(AH6),0,VLOOKUP(AH6,UNITGRADES,2,FALSE))</f>
        <v>90</v>
      </c>
      <c r="AJ6" s="16" t="s">
        <v>24</v>
      </c>
      <c r="AK6" s="15">
        <f>IF(ISBLANK(AJ6),0,VLOOKUP(AJ6,UNITGRADES,2,FALSE))</f>
        <v>80</v>
      </c>
      <c r="AL6" s="16" t="s">
        <v>24</v>
      </c>
      <c r="AM6" s="15">
        <f>IF(ISBLANK(AL6),0,VLOOKUP(AL6,UNITGRADES,2,FALSE))</f>
        <v>80</v>
      </c>
      <c r="AN6" s="16" t="s">
        <v>23</v>
      </c>
      <c r="AO6" s="15">
        <f>IF(ISBLANK(AN6),0,VLOOKUP(AN6,UNITGRADES,2,FALSE))</f>
        <v>70</v>
      </c>
      <c r="AP6" s="16" t="s">
        <v>25</v>
      </c>
      <c r="AQ6" s="15">
        <f>IF(ISBLANK(AP6),0,VLOOKUP(AP6,UNITGRADES,2,FALSE))</f>
        <v>90</v>
      </c>
      <c r="AR6" s="16" t="s">
        <v>23</v>
      </c>
      <c r="AS6" s="11">
        <f>IF(ISBLANK(AR6),0,VLOOKUP(AR6,UNITGRADES,2,FALSE))</f>
        <v>70</v>
      </c>
      <c r="AT6" s="13">
        <f t="shared" si="1"/>
        <v>10</v>
      </c>
      <c r="AU6" s="13">
        <f t="shared" si="2"/>
        <v>3</v>
      </c>
      <c r="AV6" s="13">
        <f t="shared" si="3"/>
        <v>5</v>
      </c>
      <c r="AW6" s="17">
        <f t="shared" si="4"/>
        <v>1310</v>
      </c>
      <c r="AX6" s="18" t="str">
        <f>VLOOKUP(AW6,FINALGRADES,3,TRUE)</f>
        <v>MPP</v>
      </c>
      <c r="AY6" s="10">
        <f>VLOOKUP(AW6,FINALGRADES,4,TRUE)</f>
        <v>160</v>
      </c>
      <c r="AZ6" s="11">
        <f>VLOOKUP(G6,TARGETPOINTS,2,FALSE)</f>
        <v>240</v>
      </c>
      <c r="BA6" s="11" t="str">
        <f t="shared" si="5"/>
        <v>Under</v>
      </c>
      <c r="BB6" s="10"/>
      <c r="BC6" s="11"/>
      <c r="BD6" s="11"/>
    </row>
    <row r="7" spans="1:56" ht="11.25" customHeight="1">
      <c r="A7" s="13">
        <v>2</v>
      </c>
      <c r="B7" s="13">
        <v>9505809</v>
      </c>
      <c r="C7" s="12" t="s">
        <v>33</v>
      </c>
      <c r="D7" s="12" t="s">
        <v>34</v>
      </c>
      <c r="E7" s="13" t="s">
        <v>21</v>
      </c>
      <c r="F7" s="14">
        <v>33054</v>
      </c>
      <c r="G7" s="13" t="s">
        <v>22</v>
      </c>
      <c r="H7" s="16" t="s">
        <v>25</v>
      </c>
      <c r="I7" s="15">
        <f>IF(ISBLANK(H7),0,VLOOKUP(H7,UNITGRADES,2,FALSE))</f>
        <v>90</v>
      </c>
      <c r="J7" s="16" t="s">
        <v>23</v>
      </c>
      <c r="K7" s="15">
        <f>IF(ISBLANK(J7),0,VLOOKUP(J7,UNITGRADES,2,FALSE))</f>
        <v>70</v>
      </c>
      <c r="L7" s="16" t="s">
        <v>23</v>
      </c>
      <c r="M7" s="15">
        <f>IF(ISBLANK(L7),0,VLOOKUP(L7,UNITGRADES,2,FALSE))</f>
        <v>70</v>
      </c>
      <c r="N7" s="16" t="s">
        <v>23</v>
      </c>
      <c r="O7" s="15">
        <f>IF(ISBLANK(N7),0,VLOOKUP(N7,UNITGRADES,2,FALSE))</f>
        <v>70</v>
      </c>
      <c r="P7" s="16" t="s">
        <v>23</v>
      </c>
      <c r="Q7" s="15">
        <f>IF(ISBLANK(P7),0,VLOOKUP(P7,UNITGRADES,2,FALSE))</f>
        <v>70</v>
      </c>
      <c r="R7" s="16" t="s">
        <v>24</v>
      </c>
      <c r="S7" s="15">
        <f>IF(ISBLANK(R7),0,VLOOKUP(R7,UNITGRADES,2,FALSE))</f>
        <v>80</v>
      </c>
      <c r="T7" s="16" t="s">
        <v>24</v>
      </c>
      <c r="U7" s="15">
        <f>IF(ISBLANK(T7),0,VLOOKUP(T7,UNITGRADES,2,FALSE))</f>
        <v>80</v>
      </c>
      <c r="V7" s="16" t="s">
        <v>24</v>
      </c>
      <c r="W7" s="15">
        <f>IF(ISBLANK(H7),0,VLOOKUP(H7,UNITGRADES,2,FALSE))</f>
        <v>90</v>
      </c>
      <c r="X7" s="16" t="s">
        <v>23</v>
      </c>
      <c r="Y7" s="15">
        <f>IF(ISBLANK(X7),0,VLOOKUP(X7,UNITGRADES,2,FALSE))</f>
        <v>70</v>
      </c>
      <c r="Z7" s="15">
        <f t="shared" si="0"/>
        <v>690</v>
      </c>
      <c r="AA7" s="15" t="str">
        <f>VLOOKUP(Z7*2,FINALGRADES,3,TRUE)</f>
        <v>MMM</v>
      </c>
      <c r="AB7" s="16" t="s">
        <v>23</v>
      </c>
      <c r="AC7" s="15">
        <f>IF(ISBLANK(AB7),0,VLOOKUP(AB7,UNITGRADES,2,FALSE))</f>
        <v>70</v>
      </c>
      <c r="AD7" s="16" t="s">
        <v>24</v>
      </c>
      <c r="AE7" s="15">
        <f>IF(ISBLANK(AD7),0,VLOOKUP(AD7,UNITGRADES,2,FALSE))</f>
        <v>80</v>
      </c>
      <c r="AF7" s="16" t="s">
        <v>24</v>
      </c>
      <c r="AG7" s="15">
        <f>IF(ISBLANK(AF7),0,VLOOKUP(AF7,UNITGRADES,2,FALSE))</f>
        <v>80</v>
      </c>
      <c r="AH7" s="16" t="s">
        <v>24</v>
      </c>
      <c r="AI7" s="15">
        <f>IF(ISBLANK(AH7),0,VLOOKUP(AH7,UNITGRADES,2,FALSE))</f>
        <v>80</v>
      </c>
      <c r="AJ7" s="16" t="s">
        <v>24</v>
      </c>
      <c r="AK7" s="15">
        <f>IF(ISBLANK(AJ7),0,VLOOKUP(AJ7,UNITGRADES,2,FALSE))</f>
        <v>80</v>
      </c>
      <c r="AL7" s="16" t="s">
        <v>24</v>
      </c>
      <c r="AM7" s="15">
        <f>IF(ISBLANK(AL7),0,VLOOKUP(AL7,UNITGRADES,2,FALSE))</f>
        <v>80</v>
      </c>
      <c r="AN7" s="16" t="s">
        <v>24</v>
      </c>
      <c r="AO7" s="15">
        <f>IF(ISBLANK(AN7),0,VLOOKUP(AN7,UNITGRADES,2,FALSE))</f>
        <v>80</v>
      </c>
      <c r="AP7" s="16" t="s">
        <v>23</v>
      </c>
      <c r="AQ7" s="15">
        <f>IF(ISBLANK(AP7),0,VLOOKUP(AP7,UNITGRADES,2,FALSE))</f>
        <v>70</v>
      </c>
      <c r="AR7" s="16" t="s">
        <v>24</v>
      </c>
      <c r="AS7" s="11">
        <f>IF(ISBLANK(AR7),0,VLOOKUP(AR7,UNITGRADES,2,FALSE))</f>
        <v>80</v>
      </c>
      <c r="AT7" s="13">
        <f t="shared" si="1"/>
        <v>7</v>
      </c>
      <c r="AU7" s="13">
        <f t="shared" si="2"/>
        <v>10</v>
      </c>
      <c r="AV7" s="13">
        <f t="shared" si="3"/>
        <v>1</v>
      </c>
      <c r="AW7" s="17">
        <f t="shared" si="4"/>
        <v>1310</v>
      </c>
      <c r="AX7" s="18" t="str">
        <f>VLOOKUP(AW7,FINALGRADES,3,TRUE)</f>
        <v>MPP</v>
      </c>
      <c r="AY7" s="10">
        <f>VLOOKUP(AW7,FINALGRADES,4,TRUE)</f>
        <v>160</v>
      </c>
      <c r="AZ7" s="11">
        <f>VLOOKUP(G7,TARGETPOINTS,2,FALSE)</f>
        <v>160</v>
      </c>
      <c r="BA7" s="11" t="str">
        <f t="shared" si="5"/>
        <v>Same</v>
      </c>
      <c r="BB7" s="10"/>
      <c r="BC7" s="11"/>
      <c r="BD7" s="11"/>
    </row>
    <row r="8" spans="1:56" ht="11.25" customHeight="1">
      <c r="A8" s="13">
        <v>2</v>
      </c>
      <c r="B8" s="13">
        <v>6010520</v>
      </c>
      <c r="C8" s="12" t="s">
        <v>35</v>
      </c>
      <c r="D8" s="12" t="s">
        <v>36</v>
      </c>
      <c r="E8" s="13" t="s">
        <v>21</v>
      </c>
      <c r="F8" s="14">
        <v>32989</v>
      </c>
      <c r="G8" s="13" t="s">
        <v>37</v>
      </c>
      <c r="H8" s="16" t="s">
        <v>23</v>
      </c>
      <c r="I8" s="15">
        <f>IF(ISBLANK(H8),0,VLOOKUP(H8,UNITGRADES,2,FALSE))</f>
        <v>70</v>
      </c>
      <c r="J8" s="16" t="s">
        <v>23</v>
      </c>
      <c r="K8" s="15">
        <f>IF(ISBLANK(J8),0,VLOOKUP(J8,UNITGRADES,2,FALSE))</f>
        <v>70</v>
      </c>
      <c r="L8" s="16" t="s">
        <v>24</v>
      </c>
      <c r="M8" s="15">
        <f>IF(ISBLANK(L8),0,VLOOKUP(L8,UNITGRADES,2,FALSE))</f>
        <v>80</v>
      </c>
      <c r="N8" s="16" t="s">
        <v>25</v>
      </c>
      <c r="O8" s="15">
        <f>IF(ISBLANK(N8),0,VLOOKUP(N8,UNITGRADES,2,FALSE))</f>
        <v>90</v>
      </c>
      <c r="P8" s="16" t="s">
        <v>24</v>
      </c>
      <c r="Q8" s="15">
        <f>IF(ISBLANK(P8),0,VLOOKUP(P8,UNITGRADES,2,FALSE))</f>
        <v>80</v>
      </c>
      <c r="R8" s="16" t="s">
        <v>23</v>
      </c>
      <c r="S8" s="15">
        <f>IF(ISBLANK(R8),0,VLOOKUP(R8,UNITGRADES,2,FALSE))</f>
        <v>70</v>
      </c>
      <c r="T8" s="16" t="s">
        <v>25</v>
      </c>
      <c r="U8" s="15">
        <f>IF(ISBLANK(T8),0,VLOOKUP(T8,UNITGRADES,2,FALSE))</f>
        <v>90</v>
      </c>
      <c r="V8" s="16" t="s">
        <v>23</v>
      </c>
      <c r="W8" s="15">
        <f>IF(ISBLANK(H8),0,VLOOKUP(H8,UNITGRADES,2,FALSE))</f>
        <v>70</v>
      </c>
      <c r="X8" s="16" t="s">
        <v>25</v>
      </c>
      <c r="Y8" s="15">
        <f>IF(ISBLANK(X8),0,VLOOKUP(X8,UNITGRADES,2,FALSE))</f>
        <v>90</v>
      </c>
      <c r="Z8" s="15">
        <f t="shared" si="0"/>
        <v>710</v>
      </c>
      <c r="AA8" s="15" t="str">
        <f>VLOOKUP(Z8*2,FINALGRADES,3,TRUE)</f>
        <v>DMM</v>
      </c>
      <c r="AB8" s="16" t="s">
        <v>24</v>
      </c>
      <c r="AC8" s="15">
        <f>IF(ISBLANK(AB8),0,VLOOKUP(AB8,UNITGRADES,2,FALSE))</f>
        <v>80</v>
      </c>
      <c r="AD8" s="16" t="s">
        <v>23</v>
      </c>
      <c r="AE8" s="15">
        <f>IF(ISBLANK(AD8),0,VLOOKUP(AD8,UNITGRADES,2,FALSE))</f>
        <v>70</v>
      </c>
      <c r="AF8" s="16" t="s">
        <v>24</v>
      </c>
      <c r="AG8" s="15">
        <f>IF(ISBLANK(AF8),0,VLOOKUP(AF8,UNITGRADES,2,FALSE))</f>
        <v>80</v>
      </c>
      <c r="AH8" s="16" t="s">
        <v>24</v>
      </c>
      <c r="AI8" s="15">
        <f>IF(ISBLANK(AH8),0,VLOOKUP(AH8,UNITGRADES,2,FALSE))</f>
        <v>80</v>
      </c>
      <c r="AJ8" s="16" t="s">
        <v>23</v>
      </c>
      <c r="AK8" s="15">
        <f>IF(ISBLANK(AJ8),0,VLOOKUP(AJ8,UNITGRADES,2,FALSE))</f>
        <v>70</v>
      </c>
      <c r="AL8" s="16" t="s">
        <v>23</v>
      </c>
      <c r="AM8" s="15">
        <f>IF(ISBLANK(AL8),0,VLOOKUP(AL8,UNITGRADES,2,FALSE))</f>
        <v>70</v>
      </c>
      <c r="AN8" s="16" t="s">
        <v>24</v>
      </c>
      <c r="AO8" s="15">
        <f>IF(ISBLANK(AN8),0,VLOOKUP(AN8,UNITGRADES,2,FALSE))</f>
        <v>80</v>
      </c>
      <c r="AP8" s="16" t="s">
        <v>23</v>
      </c>
      <c r="AQ8" s="15">
        <f>IF(ISBLANK(AP8),0,VLOOKUP(AP8,UNITGRADES,2,FALSE))</f>
        <v>70</v>
      </c>
      <c r="AR8" s="16" t="s">
        <v>24</v>
      </c>
      <c r="AS8" s="11">
        <f>IF(ISBLANK(AR8),0,VLOOKUP(AR8,UNITGRADES,2,FALSE))</f>
        <v>80</v>
      </c>
      <c r="AT8" s="13">
        <f t="shared" si="1"/>
        <v>8</v>
      </c>
      <c r="AU8" s="13">
        <f t="shared" si="2"/>
        <v>7</v>
      </c>
      <c r="AV8" s="13">
        <f t="shared" si="3"/>
        <v>3</v>
      </c>
      <c r="AW8" s="17">
        <f t="shared" si="4"/>
        <v>1310</v>
      </c>
      <c r="AX8" s="18" t="str">
        <f>VLOOKUP(AW8,FINALGRADES,3,TRUE)</f>
        <v>MPP</v>
      </c>
      <c r="AY8" s="10">
        <f>VLOOKUP(AW8,FINALGRADES,4,TRUE)</f>
        <v>160</v>
      </c>
      <c r="AZ8" s="11">
        <f>VLOOKUP(G8,TARGETPOINTS,2,FALSE)</f>
        <v>120</v>
      </c>
      <c r="BA8" s="11" t="str">
        <f t="shared" si="5"/>
        <v>Over</v>
      </c>
      <c r="BB8" s="10"/>
      <c r="BC8" s="11"/>
      <c r="BD8" s="11"/>
    </row>
    <row r="9" spans="1:56" ht="11.25" customHeight="1">
      <c r="A9" s="13">
        <v>3</v>
      </c>
      <c r="B9" s="13">
        <v>6427161</v>
      </c>
      <c r="C9" s="12" t="s">
        <v>38</v>
      </c>
      <c r="D9" s="12" t="s">
        <v>39</v>
      </c>
      <c r="E9" s="13" t="s">
        <v>21</v>
      </c>
      <c r="F9" s="14">
        <v>33650</v>
      </c>
      <c r="G9" s="13" t="s">
        <v>37</v>
      </c>
      <c r="H9" s="16" t="s">
        <v>23</v>
      </c>
      <c r="I9" s="15">
        <f>IF(ISBLANK(H9),0,VLOOKUP(H9,UNITGRADES,2,FALSE))</f>
        <v>70</v>
      </c>
      <c r="J9" s="16" t="s">
        <v>25</v>
      </c>
      <c r="K9" s="15">
        <f>IF(ISBLANK(J9),0,VLOOKUP(J9,UNITGRADES,2,FALSE))</f>
        <v>90</v>
      </c>
      <c r="L9" s="16" t="s">
        <v>24</v>
      </c>
      <c r="M9" s="15">
        <f>IF(ISBLANK(L9),0,VLOOKUP(L9,UNITGRADES,2,FALSE))</f>
        <v>80</v>
      </c>
      <c r="N9" s="16" t="s">
        <v>24</v>
      </c>
      <c r="O9" s="15">
        <f>IF(ISBLANK(N9),0,VLOOKUP(N9,UNITGRADES,2,FALSE))</f>
        <v>80</v>
      </c>
      <c r="P9" s="16" t="s">
        <v>23</v>
      </c>
      <c r="Q9" s="15">
        <f>IF(ISBLANK(P9),0,VLOOKUP(P9,UNITGRADES,2,FALSE))</f>
        <v>70</v>
      </c>
      <c r="R9" s="16" t="s">
        <v>23</v>
      </c>
      <c r="S9" s="15">
        <f>IF(ISBLANK(R9),0,VLOOKUP(R9,UNITGRADES,2,FALSE))</f>
        <v>70</v>
      </c>
      <c r="T9" s="16" t="s">
        <v>23</v>
      </c>
      <c r="U9" s="15">
        <f>IF(ISBLANK(T9),0,VLOOKUP(T9,UNITGRADES,2,FALSE))</f>
        <v>70</v>
      </c>
      <c r="V9" s="16" t="s">
        <v>25</v>
      </c>
      <c r="W9" s="15">
        <f>IF(ISBLANK(H9),0,VLOOKUP(H9,UNITGRADES,2,FALSE))</f>
        <v>70</v>
      </c>
      <c r="X9" s="16" t="s">
        <v>25</v>
      </c>
      <c r="Y9" s="15">
        <f>IF(ISBLANK(X9),0,VLOOKUP(X9,UNITGRADES,2,FALSE))</f>
        <v>90</v>
      </c>
      <c r="Z9" s="15">
        <f t="shared" si="0"/>
        <v>690</v>
      </c>
      <c r="AA9" s="15" t="str">
        <f>VLOOKUP(Z9*2,FINALGRADES,3,TRUE)</f>
        <v>MMM</v>
      </c>
      <c r="AB9" s="16" t="s">
        <v>25</v>
      </c>
      <c r="AC9" s="15">
        <f>IF(ISBLANK(AB9),0,VLOOKUP(AB9,UNITGRADES,2,FALSE))</f>
        <v>90</v>
      </c>
      <c r="AD9" s="16" t="s">
        <v>24</v>
      </c>
      <c r="AE9" s="15">
        <f>IF(ISBLANK(AD9),0,VLOOKUP(AD9,UNITGRADES,2,FALSE))</f>
        <v>80</v>
      </c>
      <c r="AF9" s="16" t="s">
        <v>25</v>
      </c>
      <c r="AG9" s="15">
        <f>IF(ISBLANK(AF9),0,VLOOKUP(AF9,UNITGRADES,2,FALSE))</f>
        <v>90</v>
      </c>
      <c r="AH9" s="16" t="s">
        <v>24</v>
      </c>
      <c r="AI9" s="15">
        <f>IF(ISBLANK(AH9),0,VLOOKUP(AH9,UNITGRADES,2,FALSE))</f>
        <v>80</v>
      </c>
      <c r="AJ9" s="16" t="s">
        <v>23</v>
      </c>
      <c r="AK9" s="15">
        <f>IF(ISBLANK(AJ9),0,VLOOKUP(AJ9,UNITGRADES,2,FALSE))</f>
        <v>70</v>
      </c>
      <c r="AL9" s="16" t="s">
        <v>23</v>
      </c>
      <c r="AM9" s="15">
        <f>IF(ISBLANK(AL9),0,VLOOKUP(AL9,UNITGRADES,2,FALSE))</f>
        <v>70</v>
      </c>
      <c r="AN9" s="16" t="s">
        <v>23</v>
      </c>
      <c r="AO9" s="15">
        <f>IF(ISBLANK(AN9),0,VLOOKUP(AN9,UNITGRADES,2,FALSE))</f>
        <v>70</v>
      </c>
      <c r="AP9" s="16" t="s">
        <v>23</v>
      </c>
      <c r="AQ9" s="15">
        <f>IF(ISBLANK(AP9),0,VLOOKUP(AP9,UNITGRADES,2,FALSE))</f>
        <v>70</v>
      </c>
      <c r="AR9" s="16" t="s">
        <v>23</v>
      </c>
      <c r="AS9" s="11">
        <f>IF(ISBLANK(AR9),0,VLOOKUP(AR9,UNITGRADES,2,FALSE))</f>
        <v>70</v>
      </c>
      <c r="AT9" s="13">
        <f t="shared" si="1"/>
        <v>9</v>
      </c>
      <c r="AU9" s="13">
        <f t="shared" si="2"/>
        <v>4</v>
      </c>
      <c r="AV9" s="13">
        <f t="shared" si="3"/>
        <v>5</v>
      </c>
      <c r="AW9" s="17">
        <f t="shared" si="4"/>
        <v>1310</v>
      </c>
      <c r="AX9" s="18" t="str">
        <f>VLOOKUP(AW9,FINALGRADES,3,TRUE)</f>
        <v>MPP</v>
      </c>
      <c r="AY9" s="10">
        <f>VLOOKUP(AW9,FINALGRADES,4,TRUE)</f>
        <v>160</v>
      </c>
      <c r="AZ9" s="11">
        <f>VLOOKUP(G9,TARGETPOINTS,2,FALSE)</f>
        <v>120</v>
      </c>
      <c r="BA9" s="11" t="str">
        <f t="shared" si="5"/>
        <v>Over</v>
      </c>
      <c r="BB9" s="10"/>
      <c r="BC9" s="11"/>
      <c r="BD9" s="11"/>
    </row>
    <row r="10" spans="1:56" ht="11.25" customHeight="1">
      <c r="A10" s="13">
        <v>4</v>
      </c>
      <c r="B10" s="13">
        <v>6179448</v>
      </c>
      <c r="C10" s="12" t="s">
        <v>40</v>
      </c>
      <c r="D10" s="12" t="s">
        <v>41</v>
      </c>
      <c r="E10" s="13" t="s">
        <v>21</v>
      </c>
      <c r="F10" s="14">
        <v>34142</v>
      </c>
      <c r="G10" s="13" t="s">
        <v>32</v>
      </c>
      <c r="H10" s="16" t="s">
        <v>24</v>
      </c>
      <c r="I10" s="15">
        <f>IF(ISBLANK(H10),0,VLOOKUP(H10,UNITGRADES,2,FALSE))</f>
        <v>80</v>
      </c>
      <c r="J10" s="16" t="s">
        <v>24</v>
      </c>
      <c r="K10" s="15">
        <f>IF(ISBLANK(J10),0,VLOOKUP(J10,UNITGRADES,2,FALSE))</f>
        <v>80</v>
      </c>
      <c r="L10" s="16" t="s">
        <v>24</v>
      </c>
      <c r="M10" s="15">
        <f>IF(ISBLANK(L10),0,VLOOKUP(L10,UNITGRADES,2,FALSE))</f>
        <v>80</v>
      </c>
      <c r="N10" s="16" t="s">
        <v>23</v>
      </c>
      <c r="O10" s="15">
        <f>IF(ISBLANK(N10),0,VLOOKUP(N10,UNITGRADES,2,FALSE))</f>
        <v>70</v>
      </c>
      <c r="P10" s="16" t="s">
        <v>23</v>
      </c>
      <c r="Q10" s="15">
        <f>IF(ISBLANK(P10),0,VLOOKUP(P10,UNITGRADES,2,FALSE))</f>
        <v>70</v>
      </c>
      <c r="R10" s="16" t="s">
        <v>23</v>
      </c>
      <c r="S10" s="15">
        <f>IF(ISBLANK(R10),0,VLOOKUP(R10,UNITGRADES,2,FALSE))</f>
        <v>70</v>
      </c>
      <c r="T10" s="16" t="s">
        <v>25</v>
      </c>
      <c r="U10" s="15">
        <f>IF(ISBLANK(T10),0,VLOOKUP(T10,UNITGRADES,2,FALSE))</f>
        <v>90</v>
      </c>
      <c r="V10" s="16" t="s">
        <v>25</v>
      </c>
      <c r="W10" s="15">
        <f>IF(ISBLANK(H10),0,VLOOKUP(H10,UNITGRADES,2,FALSE))</f>
        <v>80</v>
      </c>
      <c r="X10" s="16" t="s">
        <v>23</v>
      </c>
      <c r="Y10" s="15">
        <f>IF(ISBLANK(X10),0,VLOOKUP(X10,UNITGRADES,2,FALSE))</f>
        <v>70</v>
      </c>
      <c r="Z10" s="15">
        <f t="shared" si="0"/>
        <v>690</v>
      </c>
      <c r="AA10" s="15" t="str">
        <f>VLOOKUP(Z10*2,FINALGRADES,3,TRUE)</f>
        <v>MMM</v>
      </c>
      <c r="AB10" s="16" t="s">
        <v>23</v>
      </c>
      <c r="AC10" s="15">
        <f>IF(ISBLANK(AB10),0,VLOOKUP(AB10,UNITGRADES,2,FALSE))</f>
        <v>70</v>
      </c>
      <c r="AD10" s="16" t="s">
        <v>25</v>
      </c>
      <c r="AE10" s="15">
        <f>IF(ISBLANK(AD10),0,VLOOKUP(AD10,UNITGRADES,2,FALSE))</f>
        <v>90</v>
      </c>
      <c r="AF10" s="16" t="s">
        <v>24</v>
      </c>
      <c r="AG10" s="15">
        <f>IF(ISBLANK(AF10),0,VLOOKUP(AF10,UNITGRADES,2,FALSE))</f>
        <v>80</v>
      </c>
      <c r="AH10" s="16" t="s">
        <v>24</v>
      </c>
      <c r="AI10" s="15">
        <f>IF(ISBLANK(AH10),0,VLOOKUP(AH10,UNITGRADES,2,FALSE))</f>
        <v>80</v>
      </c>
      <c r="AJ10" s="16" t="s">
        <v>23</v>
      </c>
      <c r="AK10" s="15">
        <f>IF(ISBLANK(AJ10),0,VLOOKUP(AJ10,UNITGRADES,2,FALSE))</f>
        <v>70</v>
      </c>
      <c r="AL10" s="16" t="s">
        <v>24</v>
      </c>
      <c r="AM10" s="15">
        <f>IF(ISBLANK(AL10),0,VLOOKUP(AL10,UNITGRADES,2,FALSE))</f>
        <v>80</v>
      </c>
      <c r="AN10" s="16" t="s">
        <v>25</v>
      </c>
      <c r="AO10" s="15">
        <f>IF(ISBLANK(AN10),0,VLOOKUP(AN10,UNITGRADES,2,FALSE))</f>
        <v>90</v>
      </c>
      <c r="AP10" s="16" t="s">
        <v>23</v>
      </c>
      <c r="AQ10" s="15">
        <f>IF(ISBLANK(AP10),0,VLOOKUP(AP10,UNITGRADES,2,FALSE))</f>
        <v>70</v>
      </c>
      <c r="AR10" s="16" t="s">
        <v>24</v>
      </c>
      <c r="AS10" s="11">
        <f>IF(ISBLANK(AR10),0,VLOOKUP(AR10,UNITGRADES,2,FALSE))</f>
        <v>80</v>
      </c>
      <c r="AT10" s="13">
        <f t="shared" si="1"/>
        <v>7</v>
      </c>
      <c r="AU10" s="13">
        <f t="shared" si="2"/>
        <v>7</v>
      </c>
      <c r="AV10" s="13">
        <f t="shared" si="3"/>
        <v>4</v>
      </c>
      <c r="AW10" s="17">
        <f t="shared" si="4"/>
        <v>1320</v>
      </c>
      <c r="AX10" s="18" t="str">
        <f>VLOOKUP(AW10,FINALGRADES,3,TRUE)</f>
        <v>MPP</v>
      </c>
      <c r="AY10" s="10">
        <f>VLOOKUP(AW10,FINALGRADES,4,TRUE)</f>
        <v>160</v>
      </c>
      <c r="AZ10" s="11">
        <f>VLOOKUP(G10,TARGETPOINTS,2,FALSE)</f>
        <v>240</v>
      </c>
      <c r="BA10" s="11" t="str">
        <f t="shared" si="5"/>
        <v>Under</v>
      </c>
      <c r="BB10" s="10"/>
      <c r="BC10" s="11"/>
      <c r="BD10" s="11"/>
    </row>
    <row r="11" spans="1:56" ht="11.25" customHeight="1">
      <c r="A11" s="13">
        <v>1</v>
      </c>
      <c r="B11" s="13">
        <v>9816746</v>
      </c>
      <c r="C11" s="12" t="s">
        <v>42</v>
      </c>
      <c r="D11" s="12" t="s">
        <v>43</v>
      </c>
      <c r="E11" s="13" t="s">
        <v>21</v>
      </c>
      <c r="F11" s="14">
        <v>33700</v>
      </c>
      <c r="G11" s="13" t="s">
        <v>29</v>
      </c>
      <c r="H11" s="16" t="s">
        <v>24</v>
      </c>
      <c r="I11" s="15">
        <f>IF(ISBLANK(H11),0,VLOOKUP(H11,UNITGRADES,2,FALSE))</f>
        <v>80</v>
      </c>
      <c r="J11" s="16" t="s">
        <v>23</v>
      </c>
      <c r="K11" s="15">
        <f>IF(ISBLANK(J11),0,VLOOKUP(J11,UNITGRADES,2,FALSE))</f>
        <v>70</v>
      </c>
      <c r="L11" s="16" t="s">
        <v>24</v>
      </c>
      <c r="M11" s="15">
        <f>IF(ISBLANK(L11),0,VLOOKUP(L11,UNITGRADES,2,FALSE))</f>
        <v>80</v>
      </c>
      <c r="N11" s="16" t="s">
        <v>23</v>
      </c>
      <c r="O11" s="15">
        <f>IF(ISBLANK(N11),0,VLOOKUP(N11,UNITGRADES,2,FALSE))</f>
        <v>70</v>
      </c>
      <c r="P11" s="16" t="s">
        <v>24</v>
      </c>
      <c r="Q11" s="15">
        <f>IF(ISBLANK(P11),0,VLOOKUP(P11,UNITGRADES,2,FALSE))</f>
        <v>80</v>
      </c>
      <c r="R11" s="16" t="s">
        <v>23</v>
      </c>
      <c r="S11" s="15">
        <f>IF(ISBLANK(R11),0,VLOOKUP(R11,UNITGRADES,2,FALSE))</f>
        <v>70</v>
      </c>
      <c r="T11" s="16" t="s">
        <v>24</v>
      </c>
      <c r="U11" s="15">
        <f>IF(ISBLANK(T11),0,VLOOKUP(T11,UNITGRADES,2,FALSE))</f>
        <v>80</v>
      </c>
      <c r="V11" s="16" t="s">
        <v>25</v>
      </c>
      <c r="W11" s="15">
        <f>IF(ISBLANK(H11),0,VLOOKUP(H11,UNITGRADES,2,FALSE))</f>
        <v>80</v>
      </c>
      <c r="X11" s="16" t="s">
        <v>23</v>
      </c>
      <c r="Y11" s="15">
        <f>IF(ISBLANK(X11),0,VLOOKUP(X11,UNITGRADES,2,FALSE))</f>
        <v>70</v>
      </c>
      <c r="Z11" s="15">
        <f t="shared" si="0"/>
        <v>680</v>
      </c>
      <c r="AA11" s="15" t="str">
        <f>VLOOKUP(Z11*2,FINALGRADES,3,TRUE)</f>
        <v>MMP</v>
      </c>
      <c r="AB11" s="16" t="s">
        <v>24</v>
      </c>
      <c r="AC11" s="15">
        <f>IF(ISBLANK(AB11),0,VLOOKUP(AB11,UNITGRADES,2,FALSE))</f>
        <v>80</v>
      </c>
      <c r="AD11" s="16" t="s">
        <v>25</v>
      </c>
      <c r="AE11" s="15">
        <f>IF(ISBLANK(AD11),0,VLOOKUP(AD11,UNITGRADES,2,FALSE))</f>
        <v>90</v>
      </c>
      <c r="AF11" s="16" t="s">
        <v>24</v>
      </c>
      <c r="AG11" s="15">
        <f>IF(ISBLANK(AF11),0,VLOOKUP(AF11,UNITGRADES,2,FALSE))</f>
        <v>80</v>
      </c>
      <c r="AH11" s="16" t="s">
        <v>25</v>
      </c>
      <c r="AI11" s="15">
        <f>IF(ISBLANK(AH11),0,VLOOKUP(AH11,UNITGRADES,2,FALSE))</f>
        <v>90</v>
      </c>
      <c r="AJ11" s="16" t="s">
        <v>24</v>
      </c>
      <c r="AK11" s="15">
        <f>IF(ISBLANK(AJ11),0,VLOOKUP(AJ11,UNITGRADES,2,FALSE))</f>
        <v>80</v>
      </c>
      <c r="AL11" s="16" t="s">
        <v>23</v>
      </c>
      <c r="AM11" s="15">
        <f>IF(ISBLANK(AL11),0,VLOOKUP(AL11,UNITGRADES,2,FALSE))</f>
        <v>70</v>
      </c>
      <c r="AN11" s="16" t="s">
        <v>23</v>
      </c>
      <c r="AO11" s="15">
        <f>IF(ISBLANK(AN11),0,VLOOKUP(AN11,UNITGRADES,2,FALSE))</f>
        <v>70</v>
      </c>
      <c r="AP11" s="16" t="s">
        <v>25</v>
      </c>
      <c r="AQ11" s="15">
        <f>IF(ISBLANK(AP11),0,VLOOKUP(AP11,UNITGRADES,2,FALSE))</f>
        <v>90</v>
      </c>
      <c r="AR11" s="16" t="s">
        <v>23</v>
      </c>
      <c r="AS11" s="11">
        <f>IF(ISBLANK(AR11),0,VLOOKUP(AR11,UNITGRADES,2,FALSE))</f>
        <v>70</v>
      </c>
      <c r="AT11" s="13">
        <f t="shared" si="1"/>
        <v>7</v>
      </c>
      <c r="AU11" s="13">
        <f t="shared" si="2"/>
        <v>7</v>
      </c>
      <c r="AV11" s="13">
        <f t="shared" si="3"/>
        <v>4</v>
      </c>
      <c r="AW11" s="17">
        <f t="shared" si="4"/>
        <v>1330</v>
      </c>
      <c r="AX11" s="18" t="str">
        <f>VLOOKUP(AW11,FINALGRADES,3,TRUE)</f>
        <v>MPP</v>
      </c>
      <c r="AY11" s="10">
        <f>VLOOKUP(AW11,FINALGRADES,4,TRUE)</f>
        <v>160</v>
      </c>
      <c r="AZ11" s="11">
        <f>VLOOKUP(G11,TARGETPOINTS,2,FALSE)</f>
        <v>360</v>
      </c>
      <c r="BA11" s="11" t="str">
        <f t="shared" si="5"/>
        <v>Under</v>
      </c>
      <c r="BB11" s="10"/>
      <c r="BC11" s="11"/>
      <c r="BD11" s="11"/>
    </row>
    <row r="12" spans="1:56" ht="11.25" customHeight="1">
      <c r="A12" s="13">
        <v>3</v>
      </c>
      <c r="B12" s="13">
        <v>9117601</v>
      </c>
      <c r="C12" s="12" t="s">
        <v>44</v>
      </c>
      <c r="D12" s="12" t="s">
        <v>45</v>
      </c>
      <c r="E12" s="13" t="s">
        <v>21</v>
      </c>
      <c r="F12" s="14">
        <v>33996</v>
      </c>
      <c r="G12" s="13" t="s">
        <v>37</v>
      </c>
      <c r="H12" s="16" t="s">
        <v>24</v>
      </c>
      <c r="I12" s="15">
        <f>IF(ISBLANK(H12),0,VLOOKUP(H12,UNITGRADES,2,FALSE))</f>
        <v>80</v>
      </c>
      <c r="J12" s="16" t="s">
        <v>24</v>
      </c>
      <c r="K12" s="15">
        <f>IF(ISBLANK(J12),0,VLOOKUP(J12,UNITGRADES,2,FALSE))</f>
        <v>80</v>
      </c>
      <c r="L12" s="16" t="s">
        <v>24</v>
      </c>
      <c r="M12" s="15">
        <f>IF(ISBLANK(L12),0,VLOOKUP(L12,UNITGRADES,2,FALSE))</f>
        <v>80</v>
      </c>
      <c r="N12" s="16" t="s">
        <v>24</v>
      </c>
      <c r="O12" s="15">
        <f>IF(ISBLANK(N12),0,VLOOKUP(N12,UNITGRADES,2,FALSE))</f>
        <v>80</v>
      </c>
      <c r="P12" s="16" t="s">
        <v>23</v>
      </c>
      <c r="Q12" s="15">
        <f>IF(ISBLANK(P12),0,VLOOKUP(P12,UNITGRADES,2,FALSE))</f>
        <v>70</v>
      </c>
      <c r="R12" s="16" t="s">
        <v>24</v>
      </c>
      <c r="S12" s="15">
        <f>IF(ISBLANK(R12),0,VLOOKUP(R12,UNITGRADES,2,FALSE))</f>
        <v>80</v>
      </c>
      <c r="T12" s="16" t="s">
        <v>24</v>
      </c>
      <c r="U12" s="15">
        <f>IF(ISBLANK(T12),0,VLOOKUP(T12,UNITGRADES,2,FALSE))</f>
        <v>80</v>
      </c>
      <c r="V12" s="16" t="s">
        <v>24</v>
      </c>
      <c r="W12" s="15">
        <f>IF(ISBLANK(H12),0,VLOOKUP(H12,UNITGRADES,2,FALSE))</f>
        <v>80</v>
      </c>
      <c r="X12" s="16" t="s">
        <v>24</v>
      </c>
      <c r="Y12" s="15">
        <f>IF(ISBLANK(X12),0,VLOOKUP(X12,UNITGRADES,2,FALSE))</f>
        <v>80</v>
      </c>
      <c r="Z12" s="15">
        <f t="shared" si="0"/>
        <v>710</v>
      </c>
      <c r="AA12" s="15" t="str">
        <f>VLOOKUP(Z12*2,FINALGRADES,3,TRUE)</f>
        <v>DMM</v>
      </c>
      <c r="AB12" s="16" t="s">
        <v>24</v>
      </c>
      <c r="AC12" s="15">
        <f>IF(ISBLANK(AB12),0,VLOOKUP(AB12,UNITGRADES,2,FALSE))</f>
        <v>80</v>
      </c>
      <c r="AD12" s="16" t="s">
        <v>24</v>
      </c>
      <c r="AE12" s="15">
        <f>IF(ISBLANK(AD12),0,VLOOKUP(AD12,UNITGRADES,2,FALSE))</f>
        <v>80</v>
      </c>
      <c r="AF12" s="16" t="s">
        <v>23</v>
      </c>
      <c r="AG12" s="15">
        <f>IF(ISBLANK(AF12),0,VLOOKUP(AF12,UNITGRADES,2,FALSE))</f>
        <v>70</v>
      </c>
      <c r="AH12" s="16" t="s">
        <v>24</v>
      </c>
      <c r="AI12" s="15">
        <f>IF(ISBLANK(AH12),0,VLOOKUP(AH12,UNITGRADES,2,FALSE))</f>
        <v>80</v>
      </c>
      <c r="AJ12" s="16" t="s">
        <v>24</v>
      </c>
      <c r="AK12" s="15">
        <f>IF(ISBLANK(AJ12),0,VLOOKUP(AJ12,UNITGRADES,2,FALSE))</f>
        <v>80</v>
      </c>
      <c r="AL12" s="16" t="s">
        <v>23</v>
      </c>
      <c r="AM12" s="15">
        <f>IF(ISBLANK(AL12),0,VLOOKUP(AL12,UNITGRADES,2,FALSE))</f>
        <v>70</v>
      </c>
      <c r="AN12" s="16" t="s">
        <v>24</v>
      </c>
      <c r="AO12" s="15">
        <f>IF(ISBLANK(AN12),0,VLOOKUP(AN12,UNITGRADES,2,FALSE))</f>
        <v>80</v>
      </c>
      <c r="AP12" s="16" t="s">
        <v>24</v>
      </c>
      <c r="AQ12" s="15">
        <f>IF(ISBLANK(AP12),0,VLOOKUP(AP12,UNITGRADES,2,FALSE))</f>
        <v>80</v>
      </c>
      <c r="AR12" s="16" t="s">
        <v>25</v>
      </c>
      <c r="AS12" s="11">
        <f>IF(ISBLANK(AR12),0,VLOOKUP(AR12,UNITGRADES,2,FALSE))</f>
        <v>90</v>
      </c>
      <c r="AT12" s="13">
        <f t="shared" si="1"/>
        <v>3</v>
      </c>
      <c r="AU12" s="13">
        <f t="shared" si="2"/>
        <v>14</v>
      </c>
      <c r="AV12" s="13">
        <f t="shared" si="3"/>
        <v>1</v>
      </c>
      <c r="AW12" s="17">
        <f t="shared" si="4"/>
        <v>1330</v>
      </c>
      <c r="AX12" s="18" t="str">
        <f>VLOOKUP(AW12,FINALGRADES,3,TRUE)</f>
        <v>MPP</v>
      </c>
      <c r="AY12" s="10">
        <f>VLOOKUP(AW12,FINALGRADES,4,TRUE)</f>
        <v>160</v>
      </c>
      <c r="AZ12" s="11">
        <f>VLOOKUP(G12,TARGETPOINTS,2,FALSE)</f>
        <v>120</v>
      </c>
      <c r="BA12" s="11" t="str">
        <f t="shared" si="5"/>
        <v>Over</v>
      </c>
      <c r="BB12" s="10"/>
      <c r="BC12" s="11"/>
      <c r="BD12" s="11"/>
    </row>
    <row r="13" spans="1:56" ht="11.25" customHeight="1">
      <c r="A13" s="13">
        <v>4</v>
      </c>
      <c r="B13" s="13">
        <v>8782729</v>
      </c>
      <c r="C13" s="12" t="s">
        <v>46</v>
      </c>
      <c r="D13" s="12" t="s">
        <v>47</v>
      </c>
      <c r="E13" s="13" t="s">
        <v>21</v>
      </c>
      <c r="F13" s="14">
        <v>34014</v>
      </c>
      <c r="G13" s="13" t="s">
        <v>37</v>
      </c>
      <c r="H13" s="16" t="s">
        <v>24</v>
      </c>
      <c r="I13" s="15">
        <f>IF(ISBLANK(H13),0,VLOOKUP(H13,UNITGRADES,2,FALSE))</f>
        <v>80</v>
      </c>
      <c r="J13" s="16" t="s">
        <v>23</v>
      </c>
      <c r="K13" s="15">
        <f>IF(ISBLANK(J13),0,VLOOKUP(J13,UNITGRADES,2,FALSE))</f>
        <v>70</v>
      </c>
      <c r="L13" s="16" t="s">
        <v>25</v>
      </c>
      <c r="M13" s="15">
        <f>IF(ISBLANK(L13),0,VLOOKUP(L13,UNITGRADES,2,FALSE))</f>
        <v>90</v>
      </c>
      <c r="N13" s="16" t="s">
        <v>24</v>
      </c>
      <c r="O13" s="15">
        <f>IF(ISBLANK(N13),0,VLOOKUP(N13,UNITGRADES,2,FALSE))</f>
        <v>80</v>
      </c>
      <c r="P13" s="16" t="s">
        <v>23</v>
      </c>
      <c r="Q13" s="15">
        <f>IF(ISBLANK(P13),0,VLOOKUP(P13,UNITGRADES,2,FALSE))</f>
        <v>70</v>
      </c>
      <c r="R13" s="16" t="s">
        <v>23</v>
      </c>
      <c r="S13" s="15">
        <f>IF(ISBLANK(R13),0,VLOOKUP(R13,UNITGRADES,2,FALSE))</f>
        <v>70</v>
      </c>
      <c r="T13" s="16" t="s">
        <v>25</v>
      </c>
      <c r="U13" s="15">
        <f>IF(ISBLANK(T13),0,VLOOKUP(T13,UNITGRADES,2,FALSE))</f>
        <v>90</v>
      </c>
      <c r="V13" s="16" t="s">
        <v>25</v>
      </c>
      <c r="W13" s="15">
        <f>IF(ISBLANK(H13),0,VLOOKUP(H13,UNITGRADES,2,FALSE))</f>
        <v>80</v>
      </c>
      <c r="X13" s="16" t="s">
        <v>23</v>
      </c>
      <c r="Y13" s="15">
        <f>IF(ISBLANK(X13),0,VLOOKUP(X13,UNITGRADES,2,FALSE))</f>
        <v>70</v>
      </c>
      <c r="Z13" s="15">
        <f t="shared" si="0"/>
        <v>700</v>
      </c>
      <c r="AA13" s="15" t="str">
        <f>VLOOKUP(Z13*2,FINALGRADES,3,TRUE)</f>
        <v>MMM</v>
      </c>
      <c r="AB13" s="16" t="s">
        <v>25</v>
      </c>
      <c r="AC13" s="15">
        <f>IF(ISBLANK(AB13),0,VLOOKUP(AB13,UNITGRADES,2,FALSE))</f>
        <v>90</v>
      </c>
      <c r="AD13" s="16" t="s">
        <v>23</v>
      </c>
      <c r="AE13" s="15">
        <f>IF(ISBLANK(AD13),0,VLOOKUP(AD13,UNITGRADES,2,FALSE))</f>
        <v>70</v>
      </c>
      <c r="AF13" s="16" t="s">
        <v>25</v>
      </c>
      <c r="AG13" s="15">
        <f>IF(ISBLANK(AF13),0,VLOOKUP(AF13,UNITGRADES,2,FALSE))</f>
        <v>90</v>
      </c>
      <c r="AH13" s="16" t="s">
        <v>23</v>
      </c>
      <c r="AI13" s="15">
        <f>IF(ISBLANK(AH13),0,VLOOKUP(AH13,UNITGRADES,2,FALSE))</f>
        <v>70</v>
      </c>
      <c r="AJ13" s="16" t="s">
        <v>24</v>
      </c>
      <c r="AK13" s="15">
        <f>IF(ISBLANK(AJ13),0,VLOOKUP(AJ13,UNITGRADES,2,FALSE))</f>
        <v>80</v>
      </c>
      <c r="AL13" s="16" t="s">
        <v>23</v>
      </c>
      <c r="AM13" s="15">
        <f>IF(ISBLANK(AL13),0,VLOOKUP(AL13,UNITGRADES,2,FALSE))</f>
        <v>70</v>
      </c>
      <c r="AN13" s="16" t="s">
        <v>24</v>
      </c>
      <c r="AO13" s="15">
        <f>IF(ISBLANK(AN13),0,VLOOKUP(AN13,UNITGRADES,2,FALSE))</f>
        <v>80</v>
      </c>
      <c r="AP13" s="16" t="s">
        <v>24</v>
      </c>
      <c r="AQ13" s="15">
        <f>IF(ISBLANK(AP13),0,VLOOKUP(AP13,UNITGRADES,2,FALSE))</f>
        <v>80</v>
      </c>
      <c r="AR13" s="16" t="s">
        <v>24</v>
      </c>
      <c r="AS13" s="11">
        <f>IF(ISBLANK(AR13),0,VLOOKUP(AR13,UNITGRADES,2,FALSE))</f>
        <v>80</v>
      </c>
      <c r="AT13" s="13">
        <f t="shared" si="1"/>
        <v>7</v>
      </c>
      <c r="AU13" s="13">
        <f t="shared" si="2"/>
        <v>6</v>
      </c>
      <c r="AV13" s="13">
        <f t="shared" si="3"/>
        <v>5</v>
      </c>
      <c r="AW13" s="17">
        <f t="shared" si="4"/>
        <v>1330</v>
      </c>
      <c r="AX13" s="18" t="str">
        <f>VLOOKUP(AW13,FINALGRADES,3,TRUE)</f>
        <v>MPP</v>
      </c>
      <c r="AY13" s="10">
        <f>VLOOKUP(AW13,FINALGRADES,4,TRUE)</f>
        <v>160</v>
      </c>
      <c r="AZ13" s="11">
        <f>VLOOKUP(G13,TARGETPOINTS,2,FALSE)</f>
        <v>120</v>
      </c>
      <c r="BA13" s="11" t="str">
        <f t="shared" si="5"/>
        <v>Over</v>
      </c>
      <c r="BB13" s="10"/>
      <c r="BC13" s="11"/>
      <c r="BD13" s="11"/>
    </row>
    <row r="14" spans="1:56" ht="11.25" customHeight="1">
      <c r="A14" s="13">
        <v>4</v>
      </c>
      <c r="B14" s="13">
        <v>8425437</v>
      </c>
      <c r="C14" s="12" t="s">
        <v>48</v>
      </c>
      <c r="D14" s="12" t="s">
        <v>49</v>
      </c>
      <c r="E14" s="13" t="s">
        <v>21</v>
      </c>
      <c r="F14" s="14">
        <v>33510</v>
      </c>
      <c r="G14" s="13" t="s">
        <v>50</v>
      </c>
      <c r="H14" s="16" t="s">
        <v>24</v>
      </c>
      <c r="I14" s="15">
        <f>IF(ISBLANK(H14),0,VLOOKUP(H14,UNITGRADES,2,FALSE))</f>
        <v>80</v>
      </c>
      <c r="J14" s="16" t="s">
        <v>24</v>
      </c>
      <c r="K14" s="15">
        <f>IF(ISBLANK(J14),0,VLOOKUP(J14,UNITGRADES,2,FALSE))</f>
        <v>80</v>
      </c>
      <c r="L14" s="16" t="s">
        <v>23</v>
      </c>
      <c r="M14" s="15">
        <f>IF(ISBLANK(L14),0,VLOOKUP(L14,UNITGRADES,2,FALSE))</f>
        <v>70</v>
      </c>
      <c r="N14" s="16" t="s">
        <v>24</v>
      </c>
      <c r="O14" s="15">
        <f>IF(ISBLANK(N14),0,VLOOKUP(N14,UNITGRADES,2,FALSE))</f>
        <v>80</v>
      </c>
      <c r="P14" s="16" t="s">
        <v>23</v>
      </c>
      <c r="Q14" s="15">
        <f>IF(ISBLANK(P14),0,VLOOKUP(P14,UNITGRADES,2,FALSE))</f>
        <v>70</v>
      </c>
      <c r="R14" s="16" t="s">
        <v>24</v>
      </c>
      <c r="S14" s="15">
        <f>IF(ISBLANK(R14),0,VLOOKUP(R14,UNITGRADES,2,FALSE))</f>
        <v>80</v>
      </c>
      <c r="T14" s="16" t="s">
        <v>23</v>
      </c>
      <c r="U14" s="15">
        <f>IF(ISBLANK(T14),0,VLOOKUP(T14,UNITGRADES,2,FALSE))</f>
        <v>70</v>
      </c>
      <c r="V14" s="16" t="s">
        <v>23</v>
      </c>
      <c r="W14" s="15">
        <f>IF(ISBLANK(H14),0,VLOOKUP(H14,UNITGRADES,2,FALSE))</f>
        <v>80</v>
      </c>
      <c r="X14" s="16" t="s">
        <v>25</v>
      </c>
      <c r="Y14" s="15">
        <f>IF(ISBLANK(X14),0,VLOOKUP(X14,UNITGRADES,2,FALSE))</f>
        <v>90</v>
      </c>
      <c r="Z14" s="15">
        <f t="shared" si="0"/>
        <v>700</v>
      </c>
      <c r="AA14" s="15" t="str">
        <f>VLOOKUP(Z14*2,FINALGRADES,3,TRUE)</f>
        <v>MMM</v>
      </c>
      <c r="AB14" s="16" t="s">
        <v>25</v>
      </c>
      <c r="AC14" s="15">
        <f>IF(ISBLANK(AB14),0,VLOOKUP(AB14,UNITGRADES,2,FALSE))</f>
        <v>90</v>
      </c>
      <c r="AD14" s="16" t="s">
        <v>23</v>
      </c>
      <c r="AE14" s="15">
        <f>IF(ISBLANK(AD14),0,VLOOKUP(AD14,UNITGRADES,2,FALSE))</f>
        <v>70</v>
      </c>
      <c r="AF14" s="16" t="s">
        <v>25</v>
      </c>
      <c r="AG14" s="15">
        <f>IF(ISBLANK(AF14),0,VLOOKUP(AF14,UNITGRADES,2,FALSE))</f>
        <v>90</v>
      </c>
      <c r="AH14" s="16" t="s">
        <v>23</v>
      </c>
      <c r="AI14" s="15">
        <f>IF(ISBLANK(AH14),0,VLOOKUP(AH14,UNITGRADES,2,FALSE))</f>
        <v>70</v>
      </c>
      <c r="AJ14" s="16" t="s">
        <v>23</v>
      </c>
      <c r="AK14" s="15">
        <f>IF(ISBLANK(AJ14),0,VLOOKUP(AJ14,UNITGRADES,2,FALSE))</f>
        <v>70</v>
      </c>
      <c r="AL14" s="16" t="s">
        <v>25</v>
      </c>
      <c r="AM14" s="15">
        <f>IF(ISBLANK(AL14),0,VLOOKUP(AL14,UNITGRADES,2,FALSE))</f>
        <v>90</v>
      </c>
      <c r="AN14" s="16" t="s">
        <v>24</v>
      </c>
      <c r="AO14" s="15">
        <f>IF(ISBLANK(AN14),0,VLOOKUP(AN14,UNITGRADES,2,FALSE))</f>
        <v>80</v>
      </c>
      <c r="AP14" s="16" t="s">
        <v>23</v>
      </c>
      <c r="AQ14" s="15">
        <f>IF(ISBLANK(AP14),0,VLOOKUP(AP14,UNITGRADES,2,FALSE))</f>
        <v>70</v>
      </c>
      <c r="AR14" s="16" t="s">
        <v>25</v>
      </c>
      <c r="AS14" s="11">
        <f>IF(ISBLANK(AR14),0,VLOOKUP(AR14,UNITGRADES,2,FALSE))</f>
        <v>90</v>
      </c>
      <c r="AT14" s="13">
        <f t="shared" si="1"/>
        <v>8</v>
      </c>
      <c r="AU14" s="13">
        <f t="shared" si="2"/>
        <v>5</v>
      </c>
      <c r="AV14" s="13">
        <f t="shared" si="3"/>
        <v>5</v>
      </c>
      <c r="AW14" s="17">
        <f t="shared" si="4"/>
        <v>1330</v>
      </c>
      <c r="AX14" s="18" t="str">
        <f>VLOOKUP(AW14,FINALGRADES,3,TRUE)</f>
        <v>MPP</v>
      </c>
      <c r="AY14" s="10">
        <f>VLOOKUP(AW14,FINALGRADES,4,TRUE)</f>
        <v>160</v>
      </c>
      <c r="AZ14" s="11">
        <f>VLOOKUP(G14,TARGETPOINTS,2,FALSE)</f>
        <v>200</v>
      </c>
      <c r="BA14" s="11" t="str">
        <f t="shared" si="5"/>
        <v>Under</v>
      </c>
      <c r="BB14" s="10"/>
      <c r="BC14" s="11"/>
      <c r="BD14" s="11"/>
    </row>
    <row r="15" spans="1:56" ht="11.25" customHeight="1">
      <c r="A15" s="13">
        <v>1</v>
      </c>
      <c r="B15" s="13">
        <v>6412458</v>
      </c>
      <c r="C15" s="12" t="s">
        <v>51</v>
      </c>
      <c r="D15" s="12" t="s">
        <v>52</v>
      </c>
      <c r="E15" s="13" t="s">
        <v>21</v>
      </c>
      <c r="F15" s="14">
        <v>33834</v>
      </c>
      <c r="G15" s="13" t="s">
        <v>32</v>
      </c>
      <c r="H15" s="16" t="s">
        <v>24</v>
      </c>
      <c r="I15" s="15">
        <f>IF(ISBLANK(H15),0,VLOOKUP(H15,UNITGRADES,2,FALSE))</f>
        <v>80</v>
      </c>
      <c r="J15" s="16" t="s">
        <v>24</v>
      </c>
      <c r="K15" s="15">
        <f>IF(ISBLANK(J15),0,VLOOKUP(J15,UNITGRADES,2,FALSE))</f>
        <v>80</v>
      </c>
      <c r="L15" s="16" t="s">
        <v>23</v>
      </c>
      <c r="M15" s="15">
        <f>IF(ISBLANK(L15),0,VLOOKUP(L15,UNITGRADES,2,FALSE))</f>
        <v>70</v>
      </c>
      <c r="N15" s="16" t="s">
        <v>23</v>
      </c>
      <c r="O15" s="15">
        <f>IF(ISBLANK(N15),0,VLOOKUP(N15,UNITGRADES,2,FALSE))</f>
        <v>70</v>
      </c>
      <c r="P15" s="16" t="s">
        <v>24</v>
      </c>
      <c r="Q15" s="15">
        <f>IF(ISBLANK(P15),0,VLOOKUP(P15,UNITGRADES,2,FALSE))</f>
        <v>80</v>
      </c>
      <c r="R15" s="16" t="s">
        <v>24</v>
      </c>
      <c r="S15" s="15">
        <f>IF(ISBLANK(R15),0,VLOOKUP(R15,UNITGRADES,2,FALSE))</f>
        <v>80</v>
      </c>
      <c r="T15" s="16" t="s">
        <v>24</v>
      </c>
      <c r="U15" s="15">
        <f>IF(ISBLANK(T15),0,VLOOKUP(T15,UNITGRADES,2,FALSE))</f>
        <v>80</v>
      </c>
      <c r="V15" s="16" t="s">
        <v>24</v>
      </c>
      <c r="W15" s="15">
        <f>IF(ISBLANK(H15),0,VLOOKUP(H15,UNITGRADES,2,FALSE))</f>
        <v>80</v>
      </c>
      <c r="X15" s="16" t="s">
        <v>24</v>
      </c>
      <c r="Y15" s="15">
        <f>IF(ISBLANK(X15),0,VLOOKUP(X15,UNITGRADES,2,FALSE))</f>
        <v>80</v>
      </c>
      <c r="Z15" s="15">
        <f t="shared" si="0"/>
        <v>700</v>
      </c>
      <c r="AA15" s="15" t="str">
        <f>VLOOKUP(Z15*2,FINALGRADES,3,TRUE)</f>
        <v>MMM</v>
      </c>
      <c r="AB15" s="16" t="s">
        <v>25</v>
      </c>
      <c r="AC15" s="15">
        <f>IF(ISBLANK(AB15),0,VLOOKUP(AB15,UNITGRADES,2,FALSE))</f>
        <v>90</v>
      </c>
      <c r="AD15" s="16" t="s">
        <v>25</v>
      </c>
      <c r="AE15" s="15">
        <f>IF(ISBLANK(AD15),0,VLOOKUP(AD15,UNITGRADES,2,FALSE))</f>
        <v>90</v>
      </c>
      <c r="AF15" s="16" t="s">
        <v>23</v>
      </c>
      <c r="AG15" s="15">
        <f>IF(ISBLANK(AF15),0,VLOOKUP(AF15,UNITGRADES,2,FALSE))</f>
        <v>70</v>
      </c>
      <c r="AH15" s="16" t="s">
        <v>25</v>
      </c>
      <c r="AI15" s="15">
        <f>IF(ISBLANK(AH15),0,VLOOKUP(AH15,UNITGRADES,2,FALSE))</f>
        <v>90</v>
      </c>
      <c r="AJ15" s="16" t="s">
        <v>25</v>
      </c>
      <c r="AK15" s="15">
        <f>IF(ISBLANK(AJ15),0,VLOOKUP(AJ15,UNITGRADES,2,FALSE))</f>
        <v>90</v>
      </c>
      <c r="AL15" s="16" t="s">
        <v>23</v>
      </c>
      <c r="AM15" s="15">
        <f>IF(ISBLANK(AL15),0,VLOOKUP(AL15,UNITGRADES,2,FALSE))</f>
        <v>70</v>
      </c>
      <c r="AN15" s="16" t="s">
        <v>23</v>
      </c>
      <c r="AO15" s="15">
        <f>IF(ISBLANK(AN15),0,VLOOKUP(AN15,UNITGRADES,2,FALSE))</f>
        <v>70</v>
      </c>
      <c r="AP15" s="16" t="s">
        <v>23</v>
      </c>
      <c r="AQ15" s="15">
        <f>IF(ISBLANK(AP15),0,VLOOKUP(AP15,UNITGRADES,2,FALSE))</f>
        <v>70</v>
      </c>
      <c r="AR15" s="16" t="s">
        <v>24</v>
      </c>
      <c r="AS15" s="11">
        <f>IF(ISBLANK(AR15),0,VLOOKUP(AR15,UNITGRADES,2,FALSE))</f>
        <v>80</v>
      </c>
      <c r="AT15" s="13">
        <f t="shared" si="1"/>
        <v>6</v>
      </c>
      <c r="AU15" s="13">
        <f t="shared" si="2"/>
        <v>8</v>
      </c>
      <c r="AV15" s="13">
        <f t="shared" si="3"/>
        <v>4</v>
      </c>
      <c r="AW15" s="17">
        <f t="shared" si="4"/>
        <v>1340</v>
      </c>
      <c r="AX15" s="18" t="str">
        <f>VLOOKUP(AW15,FINALGRADES,3,TRUE)</f>
        <v>MMP</v>
      </c>
      <c r="AY15" s="10">
        <f>VLOOKUP(AW15,FINALGRADES,4,TRUE)</f>
        <v>200</v>
      </c>
      <c r="AZ15" s="11">
        <f>VLOOKUP(G15,TARGETPOINTS,2,FALSE)</f>
        <v>240</v>
      </c>
      <c r="BA15" s="11" t="str">
        <f t="shared" si="5"/>
        <v>Under</v>
      </c>
      <c r="BB15" s="10"/>
      <c r="BC15" s="11"/>
      <c r="BD15" s="11"/>
    </row>
    <row r="16" spans="1:56" ht="11.25" customHeight="1">
      <c r="A16" s="13">
        <v>1</v>
      </c>
      <c r="B16" s="13">
        <v>8295409</v>
      </c>
      <c r="C16" s="12" t="s">
        <v>53</v>
      </c>
      <c r="D16" s="12" t="s">
        <v>54</v>
      </c>
      <c r="E16" s="13" t="s">
        <v>21</v>
      </c>
      <c r="F16" s="14">
        <v>33683</v>
      </c>
      <c r="G16" s="13" t="s">
        <v>29</v>
      </c>
      <c r="H16" s="16" t="s">
        <v>23</v>
      </c>
      <c r="I16" s="15">
        <f>IF(ISBLANK(H16),0,VLOOKUP(H16,UNITGRADES,2,FALSE))</f>
        <v>70</v>
      </c>
      <c r="J16" s="16" t="s">
        <v>24</v>
      </c>
      <c r="K16" s="15">
        <f>IF(ISBLANK(J16),0,VLOOKUP(J16,UNITGRADES,2,FALSE))</f>
        <v>80</v>
      </c>
      <c r="L16" s="16" t="s">
        <v>24</v>
      </c>
      <c r="M16" s="15">
        <f>IF(ISBLANK(L16),0,VLOOKUP(L16,UNITGRADES,2,FALSE))</f>
        <v>80</v>
      </c>
      <c r="N16" s="16" t="s">
        <v>24</v>
      </c>
      <c r="O16" s="15">
        <f>IF(ISBLANK(N16),0,VLOOKUP(N16,UNITGRADES,2,FALSE))</f>
        <v>80</v>
      </c>
      <c r="P16" s="16" t="s">
        <v>23</v>
      </c>
      <c r="Q16" s="15">
        <f>IF(ISBLANK(P16),0,VLOOKUP(P16,UNITGRADES,2,FALSE))</f>
        <v>70</v>
      </c>
      <c r="R16" s="16" t="s">
        <v>23</v>
      </c>
      <c r="S16" s="15">
        <f>IF(ISBLANK(R16),0,VLOOKUP(R16,UNITGRADES,2,FALSE))</f>
        <v>70</v>
      </c>
      <c r="T16" s="16" t="s">
        <v>24</v>
      </c>
      <c r="U16" s="15">
        <f>IF(ISBLANK(T16),0,VLOOKUP(T16,UNITGRADES,2,FALSE))</f>
        <v>80</v>
      </c>
      <c r="V16" s="16" t="s">
        <v>23</v>
      </c>
      <c r="W16" s="15">
        <f>IF(ISBLANK(H16),0,VLOOKUP(H16,UNITGRADES,2,FALSE))</f>
        <v>70</v>
      </c>
      <c r="X16" s="16" t="s">
        <v>25</v>
      </c>
      <c r="Y16" s="15">
        <f>IF(ISBLANK(X16),0,VLOOKUP(X16,UNITGRADES,2,FALSE))</f>
        <v>90</v>
      </c>
      <c r="Z16" s="15">
        <f t="shared" si="0"/>
        <v>690</v>
      </c>
      <c r="AA16" s="15" t="str">
        <f>VLOOKUP(Z16*2,FINALGRADES,3,TRUE)</f>
        <v>MMM</v>
      </c>
      <c r="AB16" s="16" t="s">
        <v>23</v>
      </c>
      <c r="AC16" s="15">
        <f>IF(ISBLANK(AB16),0,VLOOKUP(AB16,UNITGRADES,2,FALSE))</f>
        <v>70</v>
      </c>
      <c r="AD16" s="16" t="s">
        <v>24</v>
      </c>
      <c r="AE16" s="15">
        <f>IF(ISBLANK(AD16),0,VLOOKUP(AD16,UNITGRADES,2,FALSE))</f>
        <v>80</v>
      </c>
      <c r="AF16" s="16" t="s">
        <v>25</v>
      </c>
      <c r="AG16" s="15">
        <f>IF(ISBLANK(AF16),0,VLOOKUP(AF16,UNITGRADES,2,FALSE))</f>
        <v>90</v>
      </c>
      <c r="AH16" s="16" t="s">
        <v>23</v>
      </c>
      <c r="AI16" s="15">
        <f>IF(ISBLANK(AH16),0,VLOOKUP(AH16,UNITGRADES,2,FALSE))</f>
        <v>70</v>
      </c>
      <c r="AJ16" s="16" t="s">
        <v>25</v>
      </c>
      <c r="AK16" s="15">
        <f>IF(ISBLANK(AJ16),0,VLOOKUP(AJ16,UNITGRADES,2,FALSE))</f>
        <v>90</v>
      </c>
      <c r="AL16" s="16" t="s">
        <v>25</v>
      </c>
      <c r="AM16" s="15">
        <f>IF(ISBLANK(AL16),0,VLOOKUP(AL16,UNITGRADES,2,FALSE))</f>
        <v>90</v>
      </c>
      <c r="AN16" s="16" t="s">
        <v>24</v>
      </c>
      <c r="AO16" s="15">
        <f>IF(ISBLANK(AN16),0,VLOOKUP(AN16,UNITGRADES,2,FALSE))</f>
        <v>80</v>
      </c>
      <c r="AP16" s="16" t="s">
        <v>24</v>
      </c>
      <c r="AQ16" s="15">
        <f>IF(ISBLANK(AP16),0,VLOOKUP(AP16,UNITGRADES,2,FALSE))</f>
        <v>80</v>
      </c>
      <c r="AR16" s="16" t="s">
        <v>25</v>
      </c>
      <c r="AS16" s="11">
        <f>IF(ISBLANK(AR16),0,VLOOKUP(AR16,UNITGRADES,2,FALSE))</f>
        <v>90</v>
      </c>
      <c r="AT16" s="13">
        <f t="shared" si="1"/>
        <v>6</v>
      </c>
      <c r="AU16" s="13">
        <f t="shared" si="2"/>
        <v>7</v>
      </c>
      <c r="AV16" s="13">
        <f t="shared" si="3"/>
        <v>5</v>
      </c>
      <c r="AW16" s="17">
        <f t="shared" si="4"/>
        <v>1340</v>
      </c>
      <c r="AX16" s="18" t="str">
        <f>VLOOKUP(AW16,FINALGRADES,3,TRUE)</f>
        <v>MMP</v>
      </c>
      <c r="AY16" s="10">
        <f>VLOOKUP(AW16,FINALGRADES,4,TRUE)</f>
        <v>200</v>
      </c>
      <c r="AZ16" s="11">
        <f>VLOOKUP(G16,TARGETPOINTS,2,FALSE)</f>
        <v>360</v>
      </c>
      <c r="BA16" s="11" t="str">
        <f t="shared" si="5"/>
        <v>Under</v>
      </c>
      <c r="BB16" s="10"/>
      <c r="BC16" s="11"/>
      <c r="BD16" s="11"/>
    </row>
    <row r="17" spans="1:56" ht="11.25" customHeight="1">
      <c r="A17" s="13">
        <v>2</v>
      </c>
      <c r="B17" s="13">
        <v>7508125</v>
      </c>
      <c r="C17" s="12" t="s">
        <v>55</v>
      </c>
      <c r="D17" s="12" t="s">
        <v>56</v>
      </c>
      <c r="E17" s="13" t="s">
        <v>21</v>
      </c>
      <c r="F17" s="14">
        <v>34177</v>
      </c>
      <c r="G17" s="13" t="s">
        <v>50</v>
      </c>
      <c r="H17" s="16" t="s">
        <v>23</v>
      </c>
      <c r="I17" s="15">
        <f>IF(ISBLANK(H17),0,VLOOKUP(H17,UNITGRADES,2,FALSE))</f>
        <v>70</v>
      </c>
      <c r="J17" s="16" t="s">
        <v>24</v>
      </c>
      <c r="K17" s="15">
        <f>IF(ISBLANK(J17),0,VLOOKUP(J17,UNITGRADES,2,FALSE))</f>
        <v>80</v>
      </c>
      <c r="L17" s="16" t="s">
        <v>25</v>
      </c>
      <c r="M17" s="15">
        <f>IF(ISBLANK(L17),0,VLOOKUP(L17,UNITGRADES,2,FALSE))</f>
        <v>90</v>
      </c>
      <c r="N17" s="16" t="s">
        <v>23</v>
      </c>
      <c r="O17" s="15">
        <f>IF(ISBLANK(N17),0,VLOOKUP(N17,UNITGRADES,2,FALSE))</f>
        <v>70</v>
      </c>
      <c r="P17" s="16" t="s">
        <v>23</v>
      </c>
      <c r="Q17" s="15">
        <f>IF(ISBLANK(P17),0,VLOOKUP(P17,UNITGRADES,2,FALSE))</f>
        <v>70</v>
      </c>
      <c r="R17" s="16" t="s">
        <v>25</v>
      </c>
      <c r="S17" s="15">
        <f>IF(ISBLANK(R17),0,VLOOKUP(R17,UNITGRADES,2,FALSE))</f>
        <v>90</v>
      </c>
      <c r="T17" s="16" t="s">
        <v>23</v>
      </c>
      <c r="U17" s="15">
        <f>IF(ISBLANK(T17),0,VLOOKUP(T17,UNITGRADES,2,FALSE))</f>
        <v>70</v>
      </c>
      <c r="V17" s="16" t="s">
        <v>23</v>
      </c>
      <c r="W17" s="15">
        <f>IF(ISBLANK(H17),0,VLOOKUP(H17,UNITGRADES,2,FALSE))</f>
        <v>70</v>
      </c>
      <c r="X17" s="16" t="s">
        <v>24</v>
      </c>
      <c r="Y17" s="15">
        <f>IF(ISBLANK(X17),0,VLOOKUP(X17,UNITGRADES,2,FALSE))</f>
        <v>80</v>
      </c>
      <c r="Z17" s="15">
        <f t="shared" si="0"/>
        <v>690</v>
      </c>
      <c r="AA17" s="15" t="str">
        <f>VLOOKUP(Z17*2,FINALGRADES,3,TRUE)</f>
        <v>MMM</v>
      </c>
      <c r="AB17" s="16" t="s">
        <v>24</v>
      </c>
      <c r="AC17" s="15">
        <f>IF(ISBLANK(AB17),0,VLOOKUP(AB17,UNITGRADES,2,FALSE))</f>
        <v>80</v>
      </c>
      <c r="AD17" s="16" t="s">
        <v>24</v>
      </c>
      <c r="AE17" s="15">
        <f>IF(ISBLANK(AD17),0,VLOOKUP(AD17,UNITGRADES,2,FALSE))</f>
        <v>80</v>
      </c>
      <c r="AF17" s="16" t="s">
        <v>24</v>
      </c>
      <c r="AG17" s="15">
        <f>IF(ISBLANK(AF17),0,VLOOKUP(AF17,UNITGRADES,2,FALSE))</f>
        <v>80</v>
      </c>
      <c r="AH17" s="16" t="s">
        <v>25</v>
      </c>
      <c r="AI17" s="15">
        <f>IF(ISBLANK(AH17),0,VLOOKUP(AH17,UNITGRADES,2,FALSE))</f>
        <v>90</v>
      </c>
      <c r="AJ17" s="16" t="s">
        <v>23</v>
      </c>
      <c r="AK17" s="15">
        <f>IF(ISBLANK(AJ17),0,VLOOKUP(AJ17,UNITGRADES,2,FALSE))</f>
        <v>70</v>
      </c>
      <c r="AL17" s="16" t="s">
        <v>25</v>
      </c>
      <c r="AM17" s="15">
        <f>IF(ISBLANK(AL17),0,VLOOKUP(AL17,UNITGRADES,2,FALSE))</f>
        <v>90</v>
      </c>
      <c r="AN17" s="16" t="s">
        <v>24</v>
      </c>
      <c r="AO17" s="15">
        <f>IF(ISBLANK(AN17),0,VLOOKUP(AN17,UNITGRADES,2,FALSE))</f>
        <v>80</v>
      </c>
      <c r="AP17" s="16" t="s">
        <v>24</v>
      </c>
      <c r="AQ17" s="15">
        <f>IF(ISBLANK(AP17),0,VLOOKUP(AP17,UNITGRADES,2,FALSE))</f>
        <v>80</v>
      </c>
      <c r="AR17" s="16" t="s">
        <v>23</v>
      </c>
      <c r="AS17" s="11">
        <f>IF(ISBLANK(AR17),0,VLOOKUP(AR17,UNITGRADES,2,FALSE))</f>
        <v>70</v>
      </c>
      <c r="AT17" s="13">
        <f t="shared" si="1"/>
        <v>7</v>
      </c>
      <c r="AU17" s="13">
        <f t="shared" si="2"/>
        <v>7</v>
      </c>
      <c r="AV17" s="13">
        <f t="shared" si="3"/>
        <v>4</v>
      </c>
      <c r="AW17" s="17">
        <f t="shared" si="4"/>
        <v>1340</v>
      </c>
      <c r="AX17" s="18" t="str">
        <f>VLOOKUP(AW17,FINALGRADES,3,TRUE)</f>
        <v>MMP</v>
      </c>
      <c r="AY17" s="10">
        <f>VLOOKUP(AW17,FINALGRADES,4,TRUE)</f>
        <v>200</v>
      </c>
      <c r="AZ17" s="11">
        <f>VLOOKUP(G17,TARGETPOINTS,2,FALSE)</f>
        <v>200</v>
      </c>
      <c r="BA17" s="11" t="str">
        <f t="shared" si="5"/>
        <v>Same</v>
      </c>
      <c r="BB17" s="10"/>
      <c r="BC17" s="11"/>
      <c r="BD17" s="11"/>
    </row>
    <row r="18" spans="1:56" ht="11.25" customHeight="1">
      <c r="A18" s="13">
        <v>2</v>
      </c>
      <c r="B18" s="13">
        <v>6783822</v>
      </c>
      <c r="C18" s="12" t="s">
        <v>57</v>
      </c>
      <c r="D18" s="12" t="s">
        <v>58</v>
      </c>
      <c r="E18" s="13" t="s">
        <v>21</v>
      </c>
      <c r="F18" s="14">
        <v>33861</v>
      </c>
      <c r="G18" s="13" t="s">
        <v>32</v>
      </c>
      <c r="H18" s="16" t="s">
        <v>23</v>
      </c>
      <c r="I18" s="15">
        <f>IF(ISBLANK(H18),0,VLOOKUP(H18,UNITGRADES,2,FALSE))</f>
        <v>70</v>
      </c>
      <c r="J18" s="16" t="s">
        <v>23</v>
      </c>
      <c r="K18" s="15">
        <f>IF(ISBLANK(J18),0,VLOOKUP(J18,UNITGRADES,2,FALSE))</f>
        <v>70</v>
      </c>
      <c r="L18" s="16" t="s">
        <v>24</v>
      </c>
      <c r="M18" s="15">
        <f>IF(ISBLANK(L18),0,VLOOKUP(L18,UNITGRADES,2,FALSE))</f>
        <v>80</v>
      </c>
      <c r="N18" s="16" t="s">
        <v>25</v>
      </c>
      <c r="O18" s="15">
        <f>IF(ISBLANK(N18),0,VLOOKUP(N18,UNITGRADES,2,FALSE))</f>
        <v>90</v>
      </c>
      <c r="P18" s="16" t="s">
        <v>25</v>
      </c>
      <c r="Q18" s="15">
        <f>IF(ISBLANK(P18),0,VLOOKUP(P18,UNITGRADES,2,FALSE))</f>
        <v>90</v>
      </c>
      <c r="R18" s="16" t="s">
        <v>24</v>
      </c>
      <c r="S18" s="15">
        <f>IF(ISBLANK(R18),0,VLOOKUP(R18,UNITGRADES,2,FALSE))</f>
        <v>80</v>
      </c>
      <c r="T18" s="16" t="s">
        <v>24</v>
      </c>
      <c r="U18" s="15">
        <f>IF(ISBLANK(T18),0,VLOOKUP(T18,UNITGRADES,2,FALSE))</f>
        <v>80</v>
      </c>
      <c r="V18" s="16" t="s">
        <v>23</v>
      </c>
      <c r="W18" s="15">
        <f>IF(ISBLANK(H18),0,VLOOKUP(H18,UNITGRADES,2,FALSE))</f>
        <v>70</v>
      </c>
      <c r="X18" s="16" t="s">
        <v>25</v>
      </c>
      <c r="Y18" s="15">
        <f>IF(ISBLANK(X18),0,VLOOKUP(X18,UNITGRADES,2,FALSE))</f>
        <v>90</v>
      </c>
      <c r="Z18" s="15">
        <f t="shared" si="0"/>
        <v>720</v>
      </c>
      <c r="AA18" s="15" t="str">
        <f>VLOOKUP(Z18*2,FINALGRADES,3,TRUE)</f>
        <v>DMM</v>
      </c>
      <c r="AB18" s="16" t="s">
        <v>24</v>
      </c>
      <c r="AC18" s="15">
        <f>IF(ISBLANK(AB18),0,VLOOKUP(AB18,UNITGRADES,2,FALSE))</f>
        <v>80</v>
      </c>
      <c r="AD18" s="16" t="s">
        <v>24</v>
      </c>
      <c r="AE18" s="15">
        <f>IF(ISBLANK(AD18),0,VLOOKUP(AD18,UNITGRADES,2,FALSE))</f>
        <v>80</v>
      </c>
      <c r="AF18" s="16" t="s">
        <v>24</v>
      </c>
      <c r="AG18" s="15">
        <f>IF(ISBLANK(AF18),0,VLOOKUP(AF18,UNITGRADES,2,FALSE))</f>
        <v>80</v>
      </c>
      <c r="AH18" s="16" t="s">
        <v>25</v>
      </c>
      <c r="AI18" s="15">
        <f>IF(ISBLANK(AH18),0,VLOOKUP(AH18,UNITGRADES,2,FALSE))</f>
        <v>90</v>
      </c>
      <c r="AJ18" s="16" t="s">
        <v>24</v>
      </c>
      <c r="AK18" s="15">
        <f>IF(ISBLANK(AJ18),0,VLOOKUP(AJ18,UNITGRADES,2,FALSE))</f>
        <v>80</v>
      </c>
      <c r="AL18" s="16" t="s">
        <v>23</v>
      </c>
      <c r="AM18" s="15">
        <f>IF(ISBLANK(AL18),0,VLOOKUP(AL18,UNITGRADES,2,FALSE))</f>
        <v>70</v>
      </c>
      <c r="AN18" s="16" t="s">
        <v>23</v>
      </c>
      <c r="AO18" s="15">
        <f>IF(ISBLANK(AN18),0,VLOOKUP(AN18,UNITGRADES,2,FALSE))</f>
        <v>70</v>
      </c>
      <c r="AP18" s="16" t="s">
        <v>23</v>
      </c>
      <c r="AQ18" s="15">
        <f>IF(ISBLANK(AP18),0,VLOOKUP(AP18,UNITGRADES,2,FALSE))</f>
        <v>70</v>
      </c>
      <c r="AR18" s="16" t="s">
        <v>25</v>
      </c>
      <c r="AS18" s="11">
        <f>IF(ISBLANK(AR18),0,VLOOKUP(AR18,UNITGRADES,2,FALSE))</f>
        <v>90</v>
      </c>
      <c r="AT18" s="13">
        <f t="shared" si="1"/>
        <v>6</v>
      </c>
      <c r="AU18" s="13">
        <f t="shared" si="2"/>
        <v>7</v>
      </c>
      <c r="AV18" s="13">
        <f t="shared" si="3"/>
        <v>5</v>
      </c>
      <c r="AW18" s="17">
        <f t="shared" si="4"/>
        <v>1340</v>
      </c>
      <c r="AX18" s="18" t="str">
        <f>VLOOKUP(AW18,FINALGRADES,3,TRUE)</f>
        <v>MMP</v>
      </c>
      <c r="AY18" s="10">
        <f>VLOOKUP(AW18,FINALGRADES,4,TRUE)</f>
        <v>200</v>
      </c>
      <c r="AZ18" s="11">
        <f>VLOOKUP(G18,TARGETPOINTS,2,FALSE)</f>
        <v>240</v>
      </c>
      <c r="BA18" s="11" t="str">
        <f t="shared" si="5"/>
        <v>Under</v>
      </c>
      <c r="BB18" s="10"/>
      <c r="BC18" s="11"/>
      <c r="BD18" s="11"/>
    </row>
    <row r="19" spans="1:56" ht="11.25" customHeight="1">
      <c r="A19" s="13">
        <v>4</v>
      </c>
      <c r="B19" s="13">
        <v>8789583</v>
      </c>
      <c r="C19" s="12" t="s">
        <v>59</v>
      </c>
      <c r="D19" s="12" t="s">
        <v>60</v>
      </c>
      <c r="E19" s="13" t="s">
        <v>21</v>
      </c>
      <c r="F19" s="14">
        <v>34158</v>
      </c>
      <c r="G19" s="13" t="s">
        <v>32</v>
      </c>
      <c r="H19" s="16" t="s">
        <v>24</v>
      </c>
      <c r="I19" s="15">
        <f>IF(ISBLANK(H19),0,VLOOKUP(H19,UNITGRADES,2,FALSE))</f>
        <v>80</v>
      </c>
      <c r="J19" s="16" t="s">
        <v>24</v>
      </c>
      <c r="K19" s="15">
        <f>IF(ISBLANK(J19),0,VLOOKUP(J19,UNITGRADES,2,FALSE))</f>
        <v>80</v>
      </c>
      <c r="L19" s="16" t="s">
        <v>25</v>
      </c>
      <c r="M19" s="15">
        <f>IF(ISBLANK(L19),0,VLOOKUP(L19,UNITGRADES,2,FALSE))</f>
        <v>90</v>
      </c>
      <c r="N19" s="16" t="s">
        <v>23</v>
      </c>
      <c r="O19" s="15">
        <f>IF(ISBLANK(N19),0,VLOOKUP(N19,UNITGRADES,2,FALSE))</f>
        <v>70</v>
      </c>
      <c r="P19" s="16" t="s">
        <v>24</v>
      </c>
      <c r="Q19" s="15">
        <f>IF(ISBLANK(P19),0,VLOOKUP(P19,UNITGRADES,2,FALSE))</f>
        <v>80</v>
      </c>
      <c r="R19" s="16" t="s">
        <v>23</v>
      </c>
      <c r="S19" s="15">
        <f>IF(ISBLANK(R19),0,VLOOKUP(R19,UNITGRADES,2,FALSE))</f>
        <v>70</v>
      </c>
      <c r="T19" s="16" t="s">
        <v>23</v>
      </c>
      <c r="U19" s="15">
        <f>IF(ISBLANK(T19),0,VLOOKUP(T19,UNITGRADES,2,FALSE))</f>
        <v>70</v>
      </c>
      <c r="V19" s="16" t="s">
        <v>24</v>
      </c>
      <c r="W19" s="15">
        <f>IF(ISBLANK(H19),0,VLOOKUP(H19,UNITGRADES,2,FALSE))</f>
        <v>80</v>
      </c>
      <c r="X19" s="16" t="s">
        <v>25</v>
      </c>
      <c r="Y19" s="15">
        <f>IF(ISBLANK(X19),0,VLOOKUP(X19,UNITGRADES,2,FALSE))</f>
        <v>90</v>
      </c>
      <c r="Z19" s="15">
        <f t="shared" si="0"/>
        <v>710</v>
      </c>
      <c r="AA19" s="15" t="str">
        <f>VLOOKUP(Z19*2,FINALGRADES,3,TRUE)</f>
        <v>DMM</v>
      </c>
      <c r="AB19" s="16" t="s">
        <v>23</v>
      </c>
      <c r="AC19" s="15">
        <f>IF(ISBLANK(AB19),0,VLOOKUP(AB19,UNITGRADES,2,FALSE))</f>
        <v>70</v>
      </c>
      <c r="AD19" s="16" t="s">
        <v>24</v>
      </c>
      <c r="AE19" s="15">
        <f>IF(ISBLANK(AD19),0,VLOOKUP(AD19,UNITGRADES,2,FALSE))</f>
        <v>80</v>
      </c>
      <c r="AF19" s="16" t="s">
        <v>23</v>
      </c>
      <c r="AG19" s="15">
        <f>IF(ISBLANK(AF19),0,VLOOKUP(AF19,UNITGRADES,2,FALSE))</f>
        <v>70</v>
      </c>
      <c r="AH19" s="16" t="s">
        <v>24</v>
      </c>
      <c r="AI19" s="15">
        <f>IF(ISBLANK(AH19),0,VLOOKUP(AH19,UNITGRADES,2,FALSE))</f>
        <v>80</v>
      </c>
      <c r="AJ19" s="16" t="s">
        <v>25</v>
      </c>
      <c r="AK19" s="15">
        <f>IF(ISBLANK(AJ19),0,VLOOKUP(AJ19,UNITGRADES,2,FALSE))</f>
        <v>90</v>
      </c>
      <c r="AL19" s="16" t="s">
        <v>25</v>
      </c>
      <c r="AM19" s="15">
        <f>IF(ISBLANK(AL19),0,VLOOKUP(AL19,UNITGRADES,2,FALSE))</f>
        <v>90</v>
      </c>
      <c r="AN19" s="16" t="s">
        <v>23</v>
      </c>
      <c r="AO19" s="15">
        <f>IF(ISBLANK(AN19),0,VLOOKUP(AN19,UNITGRADES,2,FALSE))</f>
        <v>70</v>
      </c>
      <c r="AP19" s="16" t="s">
        <v>24</v>
      </c>
      <c r="AQ19" s="15">
        <f>IF(ISBLANK(AP19),0,VLOOKUP(AP19,UNITGRADES,2,FALSE))</f>
        <v>80</v>
      </c>
      <c r="AR19" s="16" t="s">
        <v>25</v>
      </c>
      <c r="AS19" s="11">
        <f>IF(ISBLANK(AR19),0,VLOOKUP(AR19,UNITGRADES,2,FALSE))</f>
        <v>90</v>
      </c>
      <c r="AT19" s="13">
        <f t="shared" si="1"/>
        <v>6</v>
      </c>
      <c r="AU19" s="13">
        <f t="shared" si="2"/>
        <v>7</v>
      </c>
      <c r="AV19" s="13">
        <f t="shared" si="3"/>
        <v>5</v>
      </c>
      <c r="AW19" s="17">
        <f t="shared" si="4"/>
        <v>1340</v>
      </c>
      <c r="AX19" s="18" t="str">
        <f>VLOOKUP(AW19,FINALGRADES,3,TRUE)</f>
        <v>MMP</v>
      </c>
      <c r="AY19" s="10">
        <f>VLOOKUP(AW19,FINALGRADES,4,TRUE)</f>
        <v>200</v>
      </c>
      <c r="AZ19" s="11">
        <f>VLOOKUP(G19,TARGETPOINTS,2,FALSE)</f>
        <v>240</v>
      </c>
      <c r="BA19" s="11" t="str">
        <f t="shared" si="5"/>
        <v>Under</v>
      </c>
      <c r="BB19" s="10"/>
      <c r="BC19" s="11"/>
      <c r="BD19" s="11"/>
    </row>
    <row r="20" spans="1:56" ht="11.25" customHeight="1">
      <c r="A20" s="13">
        <v>4</v>
      </c>
      <c r="B20" s="13">
        <v>9193924</v>
      </c>
      <c r="C20" s="12" t="s">
        <v>61</v>
      </c>
      <c r="D20" s="12" t="s">
        <v>62</v>
      </c>
      <c r="E20" s="13" t="s">
        <v>21</v>
      </c>
      <c r="F20" s="14">
        <v>33732</v>
      </c>
      <c r="G20" s="13" t="s">
        <v>37</v>
      </c>
      <c r="H20" s="16" t="s">
        <v>25</v>
      </c>
      <c r="I20" s="15">
        <f>IF(ISBLANK(H20),0,VLOOKUP(H20,UNITGRADES,2,FALSE))</f>
        <v>90</v>
      </c>
      <c r="J20" s="16" t="s">
        <v>23</v>
      </c>
      <c r="K20" s="15">
        <f>IF(ISBLANK(J20),0,VLOOKUP(J20,UNITGRADES,2,FALSE))</f>
        <v>70</v>
      </c>
      <c r="L20" s="16" t="s">
        <v>24</v>
      </c>
      <c r="M20" s="15">
        <f>IF(ISBLANK(L20),0,VLOOKUP(L20,UNITGRADES,2,FALSE))</f>
        <v>80</v>
      </c>
      <c r="N20" s="16" t="s">
        <v>23</v>
      </c>
      <c r="O20" s="15">
        <f>IF(ISBLANK(N20),0,VLOOKUP(N20,UNITGRADES,2,FALSE))</f>
        <v>70</v>
      </c>
      <c r="P20" s="16" t="s">
        <v>23</v>
      </c>
      <c r="Q20" s="15">
        <f>IF(ISBLANK(P20),0,VLOOKUP(P20,UNITGRADES,2,FALSE))</f>
        <v>70</v>
      </c>
      <c r="R20" s="16" t="s">
        <v>23</v>
      </c>
      <c r="S20" s="15">
        <f>IF(ISBLANK(R20),0,VLOOKUP(R20,UNITGRADES,2,FALSE))</f>
        <v>70</v>
      </c>
      <c r="T20" s="16" t="s">
        <v>25</v>
      </c>
      <c r="U20" s="15">
        <f>IF(ISBLANK(T20),0,VLOOKUP(T20,UNITGRADES,2,FALSE))</f>
        <v>90</v>
      </c>
      <c r="V20" s="16" t="s">
        <v>25</v>
      </c>
      <c r="W20" s="15">
        <f>IF(ISBLANK(H20),0,VLOOKUP(H20,UNITGRADES,2,FALSE))</f>
        <v>90</v>
      </c>
      <c r="X20" s="16" t="s">
        <v>25</v>
      </c>
      <c r="Y20" s="15">
        <f>IF(ISBLANK(X20),0,VLOOKUP(X20,UNITGRADES,2,FALSE))</f>
        <v>90</v>
      </c>
      <c r="Z20" s="15">
        <f t="shared" si="0"/>
        <v>720</v>
      </c>
      <c r="AA20" s="15" t="str">
        <f>VLOOKUP(Z20*2,FINALGRADES,3,TRUE)</f>
        <v>DMM</v>
      </c>
      <c r="AB20" s="16" t="s">
        <v>23</v>
      </c>
      <c r="AC20" s="15">
        <f>IF(ISBLANK(AB20),0,VLOOKUP(AB20,UNITGRADES,2,FALSE))</f>
        <v>70</v>
      </c>
      <c r="AD20" s="16" t="s">
        <v>23</v>
      </c>
      <c r="AE20" s="15">
        <f>IF(ISBLANK(AD20),0,VLOOKUP(AD20,UNITGRADES,2,FALSE))</f>
        <v>70</v>
      </c>
      <c r="AF20" s="16" t="s">
        <v>25</v>
      </c>
      <c r="AG20" s="15">
        <f>IF(ISBLANK(AF20),0,VLOOKUP(AF20,UNITGRADES,2,FALSE))</f>
        <v>90</v>
      </c>
      <c r="AH20" s="16" t="s">
        <v>23</v>
      </c>
      <c r="AI20" s="15">
        <f>IF(ISBLANK(AH20),0,VLOOKUP(AH20,UNITGRADES,2,FALSE))</f>
        <v>70</v>
      </c>
      <c r="AJ20" s="16" t="s">
        <v>23</v>
      </c>
      <c r="AK20" s="15">
        <f>IF(ISBLANK(AJ20),0,VLOOKUP(AJ20,UNITGRADES,2,FALSE))</f>
        <v>70</v>
      </c>
      <c r="AL20" s="16" t="s">
        <v>25</v>
      </c>
      <c r="AM20" s="15">
        <f>IF(ISBLANK(AL20),0,VLOOKUP(AL20,UNITGRADES,2,FALSE))</f>
        <v>90</v>
      </c>
      <c r="AN20" s="16" t="s">
        <v>23</v>
      </c>
      <c r="AO20" s="15">
        <f>IF(ISBLANK(AN20),0,VLOOKUP(AN20,UNITGRADES,2,FALSE))</f>
        <v>70</v>
      </c>
      <c r="AP20" s="16" t="s">
        <v>25</v>
      </c>
      <c r="AQ20" s="15">
        <f>IF(ISBLANK(AP20),0,VLOOKUP(AP20,UNITGRADES,2,FALSE))</f>
        <v>90</v>
      </c>
      <c r="AR20" s="16" t="s">
        <v>25</v>
      </c>
      <c r="AS20" s="11">
        <f>IF(ISBLANK(AR20),0,VLOOKUP(AR20,UNITGRADES,2,FALSE))</f>
        <v>90</v>
      </c>
      <c r="AT20" s="13">
        <f t="shared" si="1"/>
        <v>9</v>
      </c>
      <c r="AU20" s="13">
        <f t="shared" si="2"/>
        <v>1</v>
      </c>
      <c r="AV20" s="13">
        <f t="shared" si="3"/>
        <v>8</v>
      </c>
      <c r="AW20" s="17">
        <f t="shared" si="4"/>
        <v>1340</v>
      </c>
      <c r="AX20" s="18" t="str">
        <f>VLOOKUP(AW20,FINALGRADES,3,TRUE)</f>
        <v>MMP</v>
      </c>
      <c r="AY20" s="10">
        <f>VLOOKUP(AW20,FINALGRADES,4,TRUE)</f>
        <v>200</v>
      </c>
      <c r="AZ20" s="11">
        <f>VLOOKUP(G20,TARGETPOINTS,2,FALSE)</f>
        <v>120</v>
      </c>
      <c r="BA20" s="11" t="str">
        <f t="shared" si="5"/>
        <v>Over</v>
      </c>
      <c r="BB20" s="10"/>
      <c r="BC20" s="11"/>
      <c r="BD20" s="11"/>
    </row>
    <row r="21" spans="1:56" ht="11.25" customHeight="1">
      <c r="A21" s="13">
        <v>3</v>
      </c>
      <c r="B21" s="13">
        <v>9896579</v>
      </c>
      <c r="C21" s="12" t="s">
        <v>63</v>
      </c>
      <c r="D21" s="12" t="s">
        <v>64</v>
      </c>
      <c r="E21" s="13" t="s">
        <v>21</v>
      </c>
      <c r="F21" s="14">
        <v>32938</v>
      </c>
      <c r="G21" s="13" t="s">
        <v>65</v>
      </c>
      <c r="H21" s="16" t="s">
        <v>24</v>
      </c>
      <c r="I21" s="15">
        <f>IF(ISBLANK(H21),0,VLOOKUP(H21,UNITGRADES,2,FALSE))</f>
        <v>80</v>
      </c>
      <c r="J21" s="16" t="s">
        <v>23</v>
      </c>
      <c r="K21" s="15">
        <f>IF(ISBLANK(J21),0,VLOOKUP(J21,UNITGRADES,2,FALSE))</f>
        <v>70</v>
      </c>
      <c r="L21" s="16" t="s">
        <v>23</v>
      </c>
      <c r="M21" s="15">
        <f>IF(ISBLANK(L21),0,VLOOKUP(L21,UNITGRADES,2,FALSE))</f>
        <v>70</v>
      </c>
      <c r="N21" s="16" t="s">
        <v>25</v>
      </c>
      <c r="O21" s="15">
        <f>IF(ISBLANK(N21),0,VLOOKUP(N21,UNITGRADES,2,FALSE))</f>
        <v>90</v>
      </c>
      <c r="P21" s="16" t="s">
        <v>25</v>
      </c>
      <c r="Q21" s="15">
        <f>IF(ISBLANK(P21),0,VLOOKUP(P21,UNITGRADES,2,FALSE))</f>
        <v>90</v>
      </c>
      <c r="R21" s="16" t="s">
        <v>23</v>
      </c>
      <c r="S21" s="15">
        <f>IF(ISBLANK(R21),0,VLOOKUP(R21,UNITGRADES,2,FALSE))</f>
        <v>70</v>
      </c>
      <c r="T21" s="16" t="s">
        <v>25</v>
      </c>
      <c r="U21" s="15">
        <f>IF(ISBLANK(T21),0,VLOOKUP(T21,UNITGRADES,2,FALSE))</f>
        <v>90</v>
      </c>
      <c r="V21" s="16" t="s">
        <v>24</v>
      </c>
      <c r="W21" s="15">
        <f>IF(ISBLANK(H21),0,VLOOKUP(H21,UNITGRADES,2,FALSE))</f>
        <v>80</v>
      </c>
      <c r="X21" s="16" t="s">
        <v>24</v>
      </c>
      <c r="Y21" s="15">
        <f>IF(ISBLANK(X21),0,VLOOKUP(X21,UNITGRADES,2,FALSE))</f>
        <v>80</v>
      </c>
      <c r="Z21" s="15">
        <f t="shared" si="0"/>
        <v>720</v>
      </c>
      <c r="AA21" s="15" t="str">
        <f>VLOOKUP(Z21*2,FINALGRADES,3,TRUE)</f>
        <v>DMM</v>
      </c>
      <c r="AB21" s="16" t="s">
        <v>24</v>
      </c>
      <c r="AC21" s="15">
        <f>IF(ISBLANK(AB21),0,VLOOKUP(AB21,UNITGRADES,2,FALSE))</f>
        <v>80</v>
      </c>
      <c r="AD21" s="16" t="s">
        <v>24</v>
      </c>
      <c r="AE21" s="15">
        <f>IF(ISBLANK(AD21),0,VLOOKUP(AD21,UNITGRADES,2,FALSE))</f>
        <v>80</v>
      </c>
      <c r="AF21" s="16" t="s">
        <v>25</v>
      </c>
      <c r="AG21" s="15">
        <f>IF(ISBLANK(AF21),0,VLOOKUP(AF21,UNITGRADES,2,FALSE))</f>
        <v>90</v>
      </c>
      <c r="AH21" s="16" t="s">
        <v>23</v>
      </c>
      <c r="AI21" s="15">
        <f>IF(ISBLANK(AH21),0,VLOOKUP(AH21,UNITGRADES,2,FALSE))</f>
        <v>70</v>
      </c>
      <c r="AJ21" s="16" t="s">
        <v>25</v>
      </c>
      <c r="AK21" s="15">
        <f>IF(ISBLANK(AJ21),0,VLOOKUP(AJ21,UNITGRADES,2,FALSE))</f>
        <v>90</v>
      </c>
      <c r="AL21" s="16" t="s">
        <v>23</v>
      </c>
      <c r="AM21" s="15">
        <f>IF(ISBLANK(AL21),0,VLOOKUP(AL21,UNITGRADES,2,FALSE))</f>
        <v>70</v>
      </c>
      <c r="AN21" s="16" t="s">
        <v>24</v>
      </c>
      <c r="AO21" s="15">
        <f>IF(ISBLANK(AN21),0,VLOOKUP(AN21,UNITGRADES,2,FALSE))</f>
        <v>80</v>
      </c>
      <c r="AP21" s="16" t="s">
        <v>23</v>
      </c>
      <c r="AQ21" s="15">
        <f>IF(ISBLANK(AP21),0,VLOOKUP(AP21,UNITGRADES,2,FALSE))</f>
        <v>70</v>
      </c>
      <c r="AR21" s="16" t="s">
        <v>24</v>
      </c>
      <c r="AS21" s="11">
        <f>IF(ISBLANK(AR21),0,VLOOKUP(AR21,UNITGRADES,2,FALSE))</f>
        <v>80</v>
      </c>
      <c r="AT21" s="13">
        <f t="shared" si="1"/>
        <v>6</v>
      </c>
      <c r="AU21" s="13">
        <f t="shared" si="2"/>
        <v>7</v>
      </c>
      <c r="AV21" s="13">
        <f t="shared" si="3"/>
        <v>5</v>
      </c>
      <c r="AW21" s="17">
        <f t="shared" si="4"/>
        <v>1350</v>
      </c>
      <c r="AX21" s="18" t="str">
        <f>VLOOKUP(AW21,FINALGRADES,3,TRUE)</f>
        <v>MMP</v>
      </c>
      <c r="AY21" s="10">
        <f>VLOOKUP(AW21,FINALGRADES,4,TRUE)</f>
        <v>200</v>
      </c>
      <c r="AZ21" s="11">
        <f>VLOOKUP(G21,TARGETPOINTS,2,FALSE)</f>
        <v>280</v>
      </c>
      <c r="BA21" s="11" t="str">
        <f t="shared" si="5"/>
        <v>Under</v>
      </c>
      <c r="BB21" s="10"/>
      <c r="BC21" s="11"/>
      <c r="BD21" s="11"/>
    </row>
    <row r="22" spans="1:56" ht="11.25" customHeight="1">
      <c r="A22" s="13">
        <v>1</v>
      </c>
      <c r="B22" s="13">
        <v>6208990</v>
      </c>
      <c r="C22" s="12" t="s">
        <v>66</v>
      </c>
      <c r="D22" s="12" t="s">
        <v>67</v>
      </c>
      <c r="E22" s="13" t="s">
        <v>21</v>
      </c>
      <c r="F22" s="14">
        <v>33018</v>
      </c>
      <c r="G22" s="13" t="s">
        <v>50</v>
      </c>
      <c r="H22" s="16" t="s">
        <v>24</v>
      </c>
      <c r="I22" s="15">
        <f>IF(ISBLANK(H22),0,VLOOKUP(H22,UNITGRADES,2,FALSE))</f>
        <v>80</v>
      </c>
      <c r="J22" s="16" t="s">
        <v>24</v>
      </c>
      <c r="K22" s="15">
        <f>IF(ISBLANK(J22),0,VLOOKUP(J22,UNITGRADES,2,FALSE))</f>
        <v>80</v>
      </c>
      <c r="L22" s="16" t="s">
        <v>24</v>
      </c>
      <c r="M22" s="15">
        <f>IF(ISBLANK(L22),0,VLOOKUP(L22,UNITGRADES,2,FALSE))</f>
        <v>80</v>
      </c>
      <c r="N22" s="16" t="s">
        <v>24</v>
      </c>
      <c r="O22" s="15">
        <f>IF(ISBLANK(N22),0,VLOOKUP(N22,UNITGRADES,2,FALSE))</f>
        <v>80</v>
      </c>
      <c r="P22" s="16" t="s">
        <v>25</v>
      </c>
      <c r="Q22" s="15">
        <f>IF(ISBLANK(P22),0,VLOOKUP(P22,UNITGRADES,2,FALSE))</f>
        <v>90</v>
      </c>
      <c r="R22" s="16" t="s">
        <v>23</v>
      </c>
      <c r="S22" s="15">
        <f>IF(ISBLANK(R22),0,VLOOKUP(R22,UNITGRADES,2,FALSE))</f>
        <v>70</v>
      </c>
      <c r="T22" s="16" t="s">
        <v>25</v>
      </c>
      <c r="U22" s="15">
        <f>IF(ISBLANK(T22),0,VLOOKUP(T22,UNITGRADES,2,FALSE))</f>
        <v>90</v>
      </c>
      <c r="V22" s="16" t="s">
        <v>24</v>
      </c>
      <c r="W22" s="15">
        <f>IF(ISBLANK(H22),0,VLOOKUP(H22,UNITGRADES,2,FALSE))</f>
        <v>80</v>
      </c>
      <c r="X22" s="16" t="s">
        <v>24</v>
      </c>
      <c r="Y22" s="15">
        <f>IF(ISBLANK(X22),0,VLOOKUP(X22,UNITGRADES,2,FALSE))</f>
        <v>80</v>
      </c>
      <c r="Z22" s="15">
        <f t="shared" si="0"/>
        <v>730</v>
      </c>
      <c r="AA22" s="15" t="str">
        <f>VLOOKUP(Z22*2,FINALGRADES,3,TRUE)</f>
        <v>DDM</v>
      </c>
      <c r="AB22" s="16" t="s">
        <v>24</v>
      </c>
      <c r="AC22" s="15">
        <f>IF(ISBLANK(AB22),0,VLOOKUP(AB22,UNITGRADES,2,FALSE))</f>
        <v>80</v>
      </c>
      <c r="AD22" s="16" t="s">
        <v>25</v>
      </c>
      <c r="AE22" s="15">
        <f>IF(ISBLANK(AD22),0,VLOOKUP(AD22,UNITGRADES,2,FALSE))</f>
        <v>90</v>
      </c>
      <c r="AF22" s="16" t="s">
        <v>24</v>
      </c>
      <c r="AG22" s="15">
        <f>IF(ISBLANK(AF22),0,VLOOKUP(AF22,UNITGRADES,2,FALSE))</f>
        <v>80</v>
      </c>
      <c r="AH22" s="16" t="s">
        <v>23</v>
      </c>
      <c r="AI22" s="15">
        <f>IF(ISBLANK(AH22),0,VLOOKUP(AH22,UNITGRADES,2,FALSE))</f>
        <v>70</v>
      </c>
      <c r="AJ22" s="16" t="s">
        <v>23</v>
      </c>
      <c r="AK22" s="15">
        <f>IF(ISBLANK(AJ22),0,VLOOKUP(AJ22,UNITGRADES,2,FALSE))</f>
        <v>70</v>
      </c>
      <c r="AL22" s="16" t="s">
        <v>24</v>
      </c>
      <c r="AM22" s="15">
        <f>IF(ISBLANK(AL22),0,VLOOKUP(AL22,UNITGRADES,2,FALSE))</f>
        <v>80</v>
      </c>
      <c r="AN22" s="16" t="s">
        <v>24</v>
      </c>
      <c r="AO22" s="15">
        <f>IF(ISBLANK(AN22),0,VLOOKUP(AN22,UNITGRADES,2,FALSE))</f>
        <v>80</v>
      </c>
      <c r="AP22" s="16" t="s">
        <v>24</v>
      </c>
      <c r="AQ22" s="15">
        <f>IF(ISBLANK(AP22),0,VLOOKUP(AP22,UNITGRADES,2,FALSE))</f>
        <v>80</v>
      </c>
      <c r="AR22" s="16" t="s">
        <v>23</v>
      </c>
      <c r="AS22" s="11">
        <f>IF(ISBLANK(AR22),0,VLOOKUP(AR22,UNITGRADES,2,FALSE))</f>
        <v>70</v>
      </c>
      <c r="AT22" s="13">
        <f t="shared" si="1"/>
        <v>4</v>
      </c>
      <c r="AU22" s="13">
        <f t="shared" si="2"/>
        <v>11</v>
      </c>
      <c r="AV22" s="13">
        <f t="shared" si="3"/>
        <v>3</v>
      </c>
      <c r="AW22" s="17">
        <f t="shared" si="4"/>
        <v>1360</v>
      </c>
      <c r="AX22" s="18" t="str">
        <f>VLOOKUP(AW22,FINALGRADES,3,TRUE)</f>
        <v>MMP</v>
      </c>
      <c r="AY22" s="10">
        <f>VLOOKUP(AW22,FINALGRADES,4,TRUE)</f>
        <v>200</v>
      </c>
      <c r="AZ22" s="11">
        <f>VLOOKUP(G22,TARGETPOINTS,2,FALSE)</f>
        <v>200</v>
      </c>
      <c r="BA22" s="11" t="str">
        <f t="shared" si="5"/>
        <v>Same</v>
      </c>
      <c r="BB22" s="10"/>
      <c r="BC22" s="11"/>
      <c r="BD22" s="11"/>
    </row>
    <row r="23" spans="1:56" ht="11.25" customHeight="1">
      <c r="A23" s="13">
        <v>3</v>
      </c>
      <c r="B23" s="13">
        <v>8276555</v>
      </c>
      <c r="C23" s="12" t="s">
        <v>68</v>
      </c>
      <c r="D23" s="12" t="s">
        <v>69</v>
      </c>
      <c r="E23" s="13" t="s">
        <v>21</v>
      </c>
      <c r="F23" s="14">
        <v>33747</v>
      </c>
      <c r="G23" s="13" t="s">
        <v>70</v>
      </c>
      <c r="H23" s="16" t="s">
        <v>25</v>
      </c>
      <c r="I23" s="15">
        <f>IF(ISBLANK(H23),0,VLOOKUP(H23,UNITGRADES,2,FALSE))</f>
        <v>90</v>
      </c>
      <c r="J23" s="16" t="s">
        <v>25</v>
      </c>
      <c r="K23" s="15">
        <f>IF(ISBLANK(J23),0,VLOOKUP(J23,UNITGRADES,2,FALSE))</f>
        <v>90</v>
      </c>
      <c r="L23" s="16" t="s">
        <v>23</v>
      </c>
      <c r="M23" s="15">
        <f>IF(ISBLANK(L23),0,VLOOKUP(L23,UNITGRADES,2,FALSE))</f>
        <v>70</v>
      </c>
      <c r="N23" s="16" t="s">
        <v>23</v>
      </c>
      <c r="O23" s="15">
        <f>IF(ISBLANK(N23),0,VLOOKUP(N23,UNITGRADES,2,FALSE))</f>
        <v>70</v>
      </c>
      <c r="P23" s="16" t="s">
        <v>24</v>
      </c>
      <c r="Q23" s="15">
        <f>IF(ISBLANK(P23),0,VLOOKUP(P23,UNITGRADES,2,FALSE))</f>
        <v>80</v>
      </c>
      <c r="R23" s="16" t="s">
        <v>25</v>
      </c>
      <c r="S23" s="15">
        <f>IF(ISBLANK(R23),0,VLOOKUP(R23,UNITGRADES,2,FALSE))</f>
        <v>90</v>
      </c>
      <c r="T23" s="16" t="s">
        <v>24</v>
      </c>
      <c r="U23" s="15">
        <f>IF(ISBLANK(T23),0,VLOOKUP(T23,UNITGRADES,2,FALSE))</f>
        <v>80</v>
      </c>
      <c r="V23" s="16" t="s">
        <v>25</v>
      </c>
      <c r="W23" s="15">
        <f>IF(ISBLANK(H23),0,VLOOKUP(H23,UNITGRADES,2,FALSE))</f>
        <v>90</v>
      </c>
      <c r="X23" s="16" t="s">
        <v>23</v>
      </c>
      <c r="Y23" s="15">
        <f>IF(ISBLANK(X23),0,VLOOKUP(X23,UNITGRADES,2,FALSE))</f>
        <v>70</v>
      </c>
      <c r="Z23" s="15">
        <f t="shared" si="0"/>
        <v>730</v>
      </c>
      <c r="AA23" s="15" t="str">
        <f>VLOOKUP(Z23*2,FINALGRADES,3,TRUE)</f>
        <v>DDM</v>
      </c>
      <c r="AB23" s="16" t="s">
        <v>23</v>
      </c>
      <c r="AC23" s="15">
        <f>IF(ISBLANK(AB23),0,VLOOKUP(AB23,UNITGRADES,2,FALSE))</f>
        <v>70</v>
      </c>
      <c r="AD23" s="16" t="s">
        <v>25</v>
      </c>
      <c r="AE23" s="15">
        <f>IF(ISBLANK(AD23),0,VLOOKUP(AD23,UNITGRADES,2,FALSE))</f>
        <v>90</v>
      </c>
      <c r="AF23" s="16" t="s">
        <v>25</v>
      </c>
      <c r="AG23" s="15">
        <f>IF(ISBLANK(AF23),0,VLOOKUP(AF23,UNITGRADES,2,FALSE))</f>
        <v>90</v>
      </c>
      <c r="AH23" s="16" t="s">
        <v>24</v>
      </c>
      <c r="AI23" s="15">
        <f>IF(ISBLANK(AH23),0,VLOOKUP(AH23,UNITGRADES,2,FALSE))</f>
        <v>80</v>
      </c>
      <c r="AJ23" s="16" t="s">
        <v>23</v>
      </c>
      <c r="AK23" s="15">
        <f>IF(ISBLANK(AJ23),0,VLOOKUP(AJ23,UNITGRADES,2,FALSE))</f>
        <v>70</v>
      </c>
      <c r="AL23" s="16" t="s">
        <v>23</v>
      </c>
      <c r="AM23" s="15">
        <f>IF(ISBLANK(AL23),0,VLOOKUP(AL23,UNITGRADES,2,FALSE))</f>
        <v>70</v>
      </c>
      <c r="AN23" s="16" t="s">
        <v>23</v>
      </c>
      <c r="AO23" s="15">
        <f>IF(ISBLANK(AN23),0,VLOOKUP(AN23,UNITGRADES,2,FALSE))</f>
        <v>70</v>
      </c>
      <c r="AP23" s="16" t="s">
        <v>25</v>
      </c>
      <c r="AQ23" s="15">
        <f>IF(ISBLANK(AP23),0,VLOOKUP(AP23,UNITGRADES,2,FALSE))</f>
        <v>90</v>
      </c>
      <c r="AR23" s="16" t="s">
        <v>24</v>
      </c>
      <c r="AS23" s="11">
        <f>IF(ISBLANK(AR23),0,VLOOKUP(AR23,UNITGRADES,2,FALSE))</f>
        <v>80</v>
      </c>
      <c r="AT23" s="13">
        <f t="shared" si="1"/>
        <v>7</v>
      </c>
      <c r="AU23" s="13">
        <f t="shared" si="2"/>
        <v>4</v>
      </c>
      <c r="AV23" s="13">
        <f t="shared" si="3"/>
        <v>7</v>
      </c>
      <c r="AW23" s="17">
        <f t="shared" si="4"/>
        <v>1360</v>
      </c>
      <c r="AX23" s="18" t="str">
        <f>VLOOKUP(AW23,FINALGRADES,3,TRUE)</f>
        <v>MMP</v>
      </c>
      <c r="AY23" s="10">
        <f>VLOOKUP(AW23,FINALGRADES,4,TRUE)</f>
        <v>200</v>
      </c>
      <c r="AZ23" s="11">
        <f>VLOOKUP(G23,TARGETPOINTS,2,FALSE)</f>
        <v>320</v>
      </c>
      <c r="BA23" s="11" t="str">
        <f t="shared" si="5"/>
        <v>Under</v>
      </c>
      <c r="BB23" s="10"/>
      <c r="BC23" s="11"/>
      <c r="BD23" s="11"/>
    </row>
    <row r="24" spans="1:56" ht="11.25" customHeight="1">
      <c r="A24" s="13">
        <v>3</v>
      </c>
      <c r="B24" s="13">
        <v>9218827</v>
      </c>
      <c r="C24" s="12" t="s">
        <v>71</v>
      </c>
      <c r="D24" s="12" t="s">
        <v>72</v>
      </c>
      <c r="E24" s="13" t="s">
        <v>21</v>
      </c>
      <c r="F24" s="14">
        <v>33322</v>
      </c>
      <c r="G24" s="13" t="s">
        <v>29</v>
      </c>
      <c r="H24" s="16" t="s">
        <v>24</v>
      </c>
      <c r="I24" s="15">
        <f>IF(ISBLANK(H24),0,VLOOKUP(H24,UNITGRADES,2,FALSE))</f>
        <v>80</v>
      </c>
      <c r="J24" s="16" t="s">
        <v>23</v>
      </c>
      <c r="K24" s="15">
        <f>IF(ISBLANK(J24),0,VLOOKUP(J24,UNITGRADES,2,FALSE))</f>
        <v>70</v>
      </c>
      <c r="L24" s="16" t="s">
        <v>24</v>
      </c>
      <c r="M24" s="15">
        <f>IF(ISBLANK(L24),0,VLOOKUP(L24,UNITGRADES,2,FALSE))</f>
        <v>80</v>
      </c>
      <c r="N24" s="16" t="s">
        <v>24</v>
      </c>
      <c r="O24" s="15">
        <f>IF(ISBLANK(N24),0,VLOOKUP(N24,UNITGRADES,2,FALSE))</f>
        <v>80</v>
      </c>
      <c r="P24" s="16" t="s">
        <v>25</v>
      </c>
      <c r="Q24" s="15">
        <f>IF(ISBLANK(P24),0,VLOOKUP(P24,UNITGRADES,2,FALSE))</f>
        <v>90</v>
      </c>
      <c r="R24" s="16" t="s">
        <v>25</v>
      </c>
      <c r="S24" s="15">
        <f>IF(ISBLANK(R24),0,VLOOKUP(R24,UNITGRADES,2,FALSE))</f>
        <v>90</v>
      </c>
      <c r="T24" s="16" t="s">
        <v>24</v>
      </c>
      <c r="U24" s="15">
        <f>IF(ISBLANK(T24),0,VLOOKUP(T24,UNITGRADES,2,FALSE))</f>
        <v>80</v>
      </c>
      <c r="V24" s="16" t="s">
        <v>23</v>
      </c>
      <c r="W24" s="15">
        <f>IF(ISBLANK(H24),0,VLOOKUP(H24,UNITGRADES,2,FALSE))</f>
        <v>80</v>
      </c>
      <c r="X24" s="16" t="s">
        <v>24</v>
      </c>
      <c r="Y24" s="15">
        <f>IF(ISBLANK(X24),0,VLOOKUP(X24,UNITGRADES,2,FALSE))</f>
        <v>80</v>
      </c>
      <c r="Z24" s="15">
        <f t="shared" si="0"/>
        <v>730</v>
      </c>
      <c r="AA24" s="15" t="str">
        <f>VLOOKUP(Z24*2,FINALGRADES,3,TRUE)</f>
        <v>DDM</v>
      </c>
      <c r="AB24" s="16" t="s">
        <v>24</v>
      </c>
      <c r="AC24" s="15">
        <f>IF(ISBLANK(AB24),0,VLOOKUP(AB24,UNITGRADES,2,FALSE))</f>
        <v>80</v>
      </c>
      <c r="AD24" s="16" t="s">
        <v>24</v>
      </c>
      <c r="AE24" s="15">
        <f>IF(ISBLANK(AD24),0,VLOOKUP(AD24,UNITGRADES,2,FALSE))</f>
        <v>80</v>
      </c>
      <c r="AF24" s="16" t="s">
        <v>24</v>
      </c>
      <c r="AG24" s="15">
        <f>IF(ISBLANK(AF24),0,VLOOKUP(AF24,UNITGRADES,2,FALSE))</f>
        <v>80</v>
      </c>
      <c r="AH24" s="16" t="s">
        <v>23</v>
      </c>
      <c r="AI24" s="15">
        <f>IF(ISBLANK(AH24),0,VLOOKUP(AH24,UNITGRADES,2,FALSE))</f>
        <v>70</v>
      </c>
      <c r="AJ24" s="16" t="s">
        <v>25</v>
      </c>
      <c r="AK24" s="15">
        <f>IF(ISBLANK(AJ24),0,VLOOKUP(AJ24,UNITGRADES,2,FALSE))</f>
        <v>90</v>
      </c>
      <c r="AL24" s="16" t="s">
        <v>24</v>
      </c>
      <c r="AM24" s="15">
        <f>IF(ISBLANK(AL24),0,VLOOKUP(AL24,UNITGRADES,2,FALSE))</f>
        <v>80</v>
      </c>
      <c r="AN24" s="16" t="s">
        <v>24</v>
      </c>
      <c r="AO24" s="15">
        <f>IF(ISBLANK(AN24),0,VLOOKUP(AN24,UNITGRADES,2,FALSE))</f>
        <v>80</v>
      </c>
      <c r="AP24" s="16" t="s">
        <v>23</v>
      </c>
      <c r="AQ24" s="15">
        <f>IF(ISBLANK(AP24),0,VLOOKUP(AP24,UNITGRADES,2,FALSE))</f>
        <v>70</v>
      </c>
      <c r="AR24" s="16" t="s">
        <v>24</v>
      </c>
      <c r="AS24" s="11">
        <f>IF(ISBLANK(AR24),0,VLOOKUP(AR24,UNITGRADES,2,FALSE))</f>
        <v>80</v>
      </c>
      <c r="AT24" s="13">
        <f t="shared" si="1"/>
        <v>4</v>
      </c>
      <c r="AU24" s="13">
        <f t="shared" si="2"/>
        <v>11</v>
      </c>
      <c r="AV24" s="13">
        <f t="shared" si="3"/>
        <v>3</v>
      </c>
      <c r="AW24" s="17">
        <f t="shared" si="4"/>
        <v>1360</v>
      </c>
      <c r="AX24" s="18" t="str">
        <f>VLOOKUP(AW24,FINALGRADES,3,TRUE)</f>
        <v>MMP</v>
      </c>
      <c r="AY24" s="10">
        <f>VLOOKUP(AW24,FINALGRADES,4,TRUE)</f>
        <v>200</v>
      </c>
      <c r="AZ24" s="11">
        <f>VLOOKUP(G24,TARGETPOINTS,2,FALSE)</f>
        <v>360</v>
      </c>
      <c r="BA24" s="11" t="str">
        <f t="shared" si="5"/>
        <v>Under</v>
      </c>
      <c r="BB24" s="10"/>
      <c r="BC24" s="11"/>
      <c r="BD24" s="11"/>
    </row>
    <row r="25" spans="1:56" ht="11.25" customHeight="1">
      <c r="A25" s="13">
        <v>4</v>
      </c>
      <c r="B25" s="13">
        <v>6411698</v>
      </c>
      <c r="C25" s="12" t="s">
        <v>73</v>
      </c>
      <c r="D25" s="12" t="s">
        <v>74</v>
      </c>
      <c r="E25" s="13" t="s">
        <v>21</v>
      </c>
      <c r="F25" s="14">
        <v>32913</v>
      </c>
      <c r="G25" s="13" t="s">
        <v>32</v>
      </c>
      <c r="H25" s="16" t="s">
        <v>24</v>
      </c>
      <c r="I25" s="15">
        <f>IF(ISBLANK(H25),0,VLOOKUP(H25,UNITGRADES,2,FALSE))</f>
        <v>80</v>
      </c>
      <c r="J25" s="16" t="s">
        <v>24</v>
      </c>
      <c r="K25" s="15">
        <f>IF(ISBLANK(J25),0,VLOOKUP(J25,UNITGRADES,2,FALSE))</f>
        <v>80</v>
      </c>
      <c r="L25" s="16" t="s">
        <v>25</v>
      </c>
      <c r="M25" s="15">
        <f>IF(ISBLANK(L25),0,VLOOKUP(L25,UNITGRADES,2,FALSE))</f>
        <v>90</v>
      </c>
      <c r="N25" s="16" t="s">
        <v>23</v>
      </c>
      <c r="O25" s="15">
        <f>IF(ISBLANK(N25),0,VLOOKUP(N25,UNITGRADES,2,FALSE))</f>
        <v>70</v>
      </c>
      <c r="P25" s="16" t="s">
        <v>24</v>
      </c>
      <c r="Q25" s="15">
        <f>IF(ISBLANK(P25),0,VLOOKUP(P25,UNITGRADES,2,FALSE))</f>
        <v>80</v>
      </c>
      <c r="R25" s="16" t="s">
        <v>23</v>
      </c>
      <c r="S25" s="15">
        <f>IF(ISBLANK(R25),0,VLOOKUP(R25,UNITGRADES,2,FALSE))</f>
        <v>70</v>
      </c>
      <c r="T25" s="16" t="s">
        <v>25</v>
      </c>
      <c r="U25" s="15">
        <f>IF(ISBLANK(T25),0,VLOOKUP(T25,UNITGRADES,2,FALSE))</f>
        <v>90</v>
      </c>
      <c r="V25" s="16" t="s">
        <v>23</v>
      </c>
      <c r="W25" s="15">
        <f>IF(ISBLANK(H25),0,VLOOKUP(H25,UNITGRADES,2,FALSE))</f>
        <v>80</v>
      </c>
      <c r="X25" s="16" t="s">
        <v>23</v>
      </c>
      <c r="Y25" s="15">
        <f>IF(ISBLANK(X25),0,VLOOKUP(X25,UNITGRADES,2,FALSE))</f>
        <v>70</v>
      </c>
      <c r="Z25" s="15">
        <f t="shared" si="0"/>
        <v>710</v>
      </c>
      <c r="AA25" s="15" t="str">
        <f>VLOOKUP(Z25*2,FINALGRADES,3,TRUE)</f>
        <v>DMM</v>
      </c>
      <c r="AB25" s="16" t="s">
        <v>23</v>
      </c>
      <c r="AC25" s="15">
        <f>IF(ISBLANK(AB25),0,VLOOKUP(AB25,UNITGRADES,2,FALSE))</f>
        <v>70</v>
      </c>
      <c r="AD25" s="16" t="s">
        <v>25</v>
      </c>
      <c r="AE25" s="15">
        <f>IF(ISBLANK(AD25),0,VLOOKUP(AD25,UNITGRADES,2,FALSE))</f>
        <v>90</v>
      </c>
      <c r="AF25" s="16" t="s">
        <v>25</v>
      </c>
      <c r="AG25" s="15">
        <f>IF(ISBLANK(AF25),0,VLOOKUP(AF25,UNITGRADES,2,FALSE))</f>
        <v>90</v>
      </c>
      <c r="AH25" s="16" t="s">
        <v>23</v>
      </c>
      <c r="AI25" s="15">
        <f>IF(ISBLANK(AH25),0,VLOOKUP(AH25,UNITGRADES,2,FALSE))</f>
        <v>70</v>
      </c>
      <c r="AJ25" s="16" t="s">
        <v>23</v>
      </c>
      <c r="AK25" s="15">
        <f>IF(ISBLANK(AJ25),0,VLOOKUP(AJ25,UNITGRADES,2,FALSE))</f>
        <v>70</v>
      </c>
      <c r="AL25" s="16" t="s">
        <v>25</v>
      </c>
      <c r="AM25" s="15">
        <f>IF(ISBLANK(AL25),0,VLOOKUP(AL25,UNITGRADES,2,FALSE))</f>
        <v>90</v>
      </c>
      <c r="AN25" s="16" t="s">
        <v>25</v>
      </c>
      <c r="AO25" s="15">
        <f>IF(ISBLANK(AN25),0,VLOOKUP(AN25,UNITGRADES,2,FALSE))</f>
        <v>90</v>
      </c>
      <c r="AP25" s="16" t="s">
        <v>24</v>
      </c>
      <c r="AQ25" s="15">
        <f>IF(ISBLANK(AP25),0,VLOOKUP(AP25,UNITGRADES,2,FALSE))</f>
        <v>80</v>
      </c>
      <c r="AR25" s="16" t="s">
        <v>24</v>
      </c>
      <c r="AS25" s="11">
        <f>IF(ISBLANK(AR25),0,VLOOKUP(AR25,UNITGRADES,2,FALSE))</f>
        <v>80</v>
      </c>
      <c r="AT25" s="13">
        <f t="shared" si="1"/>
        <v>7</v>
      </c>
      <c r="AU25" s="13">
        <f t="shared" si="2"/>
        <v>5</v>
      </c>
      <c r="AV25" s="13">
        <f t="shared" si="3"/>
        <v>6</v>
      </c>
      <c r="AW25" s="17">
        <f t="shared" si="4"/>
        <v>1360</v>
      </c>
      <c r="AX25" s="18" t="str">
        <f>VLOOKUP(AW25,FINALGRADES,3,TRUE)</f>
        <v>MMP</v>
      </c>
      <c r="AY25" s="10">
        <f>VLOOKUP(AW25,FINALGRADES,4,TRUE)</f>
        <v>200</v>
      </c>
      <c r="AZ25" s="11">
        <f>VLOOKUP(G25,TARGETPOINTS,2,FALSE)</f>
        <v>240</v>
      </c>
      <c r="BA25" s="11" t="str">
        <f t="shared" si="5"/>
        <v>Under</v>
      </c>
      <c r="BB25" s="10"/>
      <c r="BC25" s="11"/>
      <c r="BD25" s="11"/>
    </row>
    <row r="26" spans="1:56" ht="11.25" customHeight="1">
      <c r="A26" s="13">
        <v>1</v>
      </c>
      <c r="B26" s="13">
        <v>5373433</v>
      </c>
      <c r="C26" s="12" t="s">
        <v>75</v>
      </c>
      <c r="D26" s="12" t="s">
        <v>76</v>
      </c>
      <c r="E26" s="13" t="s">
        <v>21</v>
      </c>
      <c r="F26" s="14">
        <v>33114</v>
      </c>
      <c r="G26" s="13" t="s">
        <v>29</v>
      </c>
      <c r="H26" s="16" t="s">
        <v>25</v>
      </c>
      <c r="I26" s="15">
        <f>IF(ISBLANK(H26),0,VLOOKUP(H26,UNITGRADES,2,FALSE))</f>
        <v>90</v>
      </c>
      <c r="J26" s="16" t="s">
        <v>24</v>
      </c>
      <c r="K26" s="15">
        <f>IF(ISBLANK(J26),0,VLOOKUP(J26,UNITGRADES,2,FALSE))</f>
        <v>80</v>
      </c>
      <c r="L26" s="16" t="s">
        <v>24</v>
      </c>
      <c r="M26" s="15">
        <f>IF(ISBLANK(L26),0,VLOOKUP(L26,UNITGRADES,2,FALSE))</f>
        <v>80</v>
      </c>
      <c r="N26" s="16" t="s">
        <v>23</v>
      </c>
      <c r="O26" s="15">
        <f>IF(ISBLANK(N26),0,VLOOKUP(N26,UNITGRADES,2,FALSE))</f>
        <v>70</v>
      </c>
      <c r="P26" s="16" t="s">
        <v>25</v>
      </c>
      <c r="Q26" s="15">
        <f>IF(ISBLANK(P26),0,VLOOKUP(P26,UNITGRADES,2,FALSE))</f>
        <v>90</v>
      </c>
      <c r="R26" s="16" t="s">
        <v>23</v>
      </c>
      <c r="S26" s="15">
        <f>IF(ISBLANK(R26),0,VLOOKUP(R26,UNITGRADES,2,FALSE))</f>
        <v>70</v>
      </c>
      <c r="T26" s="16" t="s">
        <v>24</v>
      </c>
      <c r="U26" s="15">
        <f>IF(ISBLANK(T26),0,VLOOKUP(T26,UNITGRADES,2,FALSE))</f>
        <v>80</v>
      </c>
      <c r="V26" s="16" t="s">
        <v>24</v>
      </c>
      <c r="W26" s="15">
        <f>IF(ISBLANK(H26),0,VLOOKUP(H26,UNITGRADES,2,FALSE))</f>
        <v>90</v>
      </c>
      <c r="X26" s="16" t="s">
        <v>24</v>
      </c>
      <c r="Y26" s="15">
        <f>IF(ISBLANK(X26),0,VLOOKUP(X26,UNITGRADES,2,FALSE))</f>
        <v>80</v>
      </c>
      <c r="Z26" s="15">
        <f t="shared" si="0"/>
        <v>730</v>
      </c>
      <c r="AA26" s="15" t="str">
        <f>VLOOKUP(Z26*2,FINALGRADES,3,TRUE)</f>
        <v>DDM</v>
      </c>
      <c r="AB26" s="16" t="s">
        <v>23</v>
      </c>
      <c r="AC26" s="15">
        <f>IF(ISBLANK(AB26),0,VLOOKUP(AB26,UNITGRADES,2,FALSE))</f>
        <v>70</v>
      </c>
      <c r="AD26" s="16" t="s">
        <v>24</v>
      </c>
      <c r="AE26" s="15">
        <f>IF(ISBLANK(AD26),0,VLOOKUP(AD26,UNITGRADES,2,FALSE))</f>
        <v>80</v>
      </c>
      <c r="AF26" s="16" t="s">
        <v>25</v>
      </c>
      <c r="AG26" s="15">
        <f>IF(ISBLANK(AF26),0,VLOOKUP(AF26,UNITGRADES,2,FALSE))</f>
        <v>90</v>
      </c>
      <c r="AH26" s="16" t="s">
        <v>23</v>
      </c>
      <c r="AI26" s="15">
        <f>IF(ISBLANK(AH26),0,VLOOKUP(AH26,UNITGRADES,2,FALSE))</f>
        <v>70</v>
      </c>
      <c r="AJ26" s="16" t="s">
        <v>25</v>
      </c>
      <c r="AK26" s="15">
        <f>IF(ISBLANK(AJ26),0,VLOOKUP(AJ26,UNITGRADES,2,FALSE))</f>
        <v>90</v>
      </c>
      <c r="AL26" s="16" t="s">
        <v>24</v>
      </c>
      <c r="AM26" s="15">
        <f>IF(ISBLANK(AL26),0,VLOOKUP(AL26,UNITGRADES,2,FALSE))</f>
        <v>80</v>
      </c>
      <c r="AN26" s="16" t="s">
        <v>24</v>
      </c>
      <c r="AO26" s="15">
        <f>IF(ISBLANK(AN26),0,VLOOKUP(AN26,UNITGRADES,2,FALSE))</f>
        <v>80</v>
      </c>
      <c r="AP26" s="16" t="s">
        <v>24</v>
      </c>
      <c r="AQ26" s="15">
        <f>IF(ISBLANK(AP26),0,VLOOKUP(AP26,UNITGRADES,2,FALSE))</f>
        <v>80</v>
      </c>
      <c r="AR26" s="16" t="s">
        <v>25</v>
      </c>
      <c r="AS26" s="11">
        <f>IF(ISBLANK(AR26),0,VLOOKUP(AR26,UNITGRADES,2,FALSE))</f>
        <v>90</v>
      </c>
      <c r="AT26" s="13">
        <f t="shared" si="1"/>
        <v>4</v>
      </c>
      <c r="AU26" s="13">
        <f t="shared" si="2"/>
        <v>9</v>
      </c>
      <c r="AV26" s="13">
        <f t="shared" si="3"/>
        <v>5</v>
      </c>
      <c r="AW26" s="17">
        <f t="shared" si="4"/>
        <v>1370</v>
      </c>
      <c r="AX26" s="18" t="str">
        <f>VLOOKUP(AW26,FINALGRADES,3,TRUE)</f>
        <v>MMP</v>
      </c>
      <c r="AY26" s="10">
        <f>VLOOKUP(AW26,FINALGRADES,4,TRUE)</f>
        <v>200</v>
      </c>
      <c r="AZ26" s="11">
        <f>VLOOKUP(G26,TARGETPOINTS,2,FALSE)</f>
        <v>360</v>
      </c>
      <c r="BA26" s="11" t="str">
        <f t="shared" si="5"/>
        <v>Under</v>
      </c>
      <c r="BB26" s="10"/>
      <c r="BC26" s="11"/>
      <c r="BD26" s="11"/>
    </row>
    <row r="27" spans="1:56" ht="11.25" customHeight="1">
      <c r="A27" s="13">
        <v>1</v>
      </c>
      <c r="B27" s="13">
        <v>9481241</v>
      </c>
      <c r="C27" s="12" t="s">
        <v>77</v>
      </c>
      <c r="D27" s="12" t="s">
        <v>78</v>
      </c>
      <c r="E27" s="13" t="s">
        <v>21</v>
      </c>
      <c r="F27" s="14">
        <v>33299</v>
      </c>
      <c r="G27" s="13" t="s">
        <v>37</v>
      </c>
      <c r="H27" s="16" t="s">
        <v>24</v>
      </c>
      <c r="I27" s="15">
        <f>IF(ISBLANK(H27),0,VLOOKUP(H27,UNITGRADES,2,FALSE))</f>
        <v>80</v>
      </c>
      <c r="J27" s="16" t="s">
        <v>24</v>
      </c>
      <c r="K27" s="15">
        <f>IF(ISBLANK(J27),0,VLOOKUP(J27,UNITGRADES,2,FALSE))</f>
        <v>80</v>
      </c>
      <c r="L27" s="16" t="s">
        <v>23</v>
      </c>
      <c r="M27" s="15">
        <f>IF(ISBLANK(L27),0,VLOOKUP(L27,UNITGRADES,2,FALSE))</f>
        <v>70</v>
      </c>
      <c r="N27" s="16" t="s">
        <v>25</v>
      </c>
      <c r="O27" s="15">
        <f>IF(ISBLANK(N27),0,VLOOKUP(N27,UNITGRADES,2,FALSE))</f>
        <v>90</v>
      </c>
      <c r="P27" s="16" t="s">
        <v>23</v>
      </c>
      <c r="Q27" s="15">
        <f>IF(ISBLANK(P27),0,VLOOKUP(P27,UNITGRADES,2,FALSE))</f>
        <v>70</v>
      </c>
      <c r="R27" s="16" t="s">
        <v>23</v>
      </c>
      <c r="S27" s="15">
        <f>IF(ISBLANK(R27),0,VLOOKUP(R27,UNITGRADES,2,FALSE))</f>
        <v>70</v>
      </c>
      <c r="T27" s="16" t="s">
        <v>24</v>
      </c>
      <c r="U27" s="15">
        <f>IF(ISBLANK(T27),0,VLOOKUP(T27,UNITGRADES,2,FALSE))</f>
        <v>80</v>
      </c>
      <c r="V27" s="16" t="s">
        <v>24</v>
      </c>
      <c r="W27" s="15">
        <f>IF(ISBLANK(H27),0,VLOOKUP(H27,UNITGRADES,2,FALSE))</f>
        <v>80</v>
      </c>
      <c r="X27" s="16" t="s">
        <v>25</v>
      </c>
      <c r="Y27" s="15">
        <f>IF(ISBLANK(X27),0,VLOOKUP(X27,UNITGRADES,2,FALSE))</f>
        <v>90</v>
      </c>
      <c r="Z27" s="15">
        <f t="shared" si="0"/>
        <v>710</v>
      </c>
      <c r="AA27" s="15" t="str">
        <f>VLOOKUP(Z27*2,FINALGRADES,3,TRUE)</f>
        <v>DMM</v>
      </c>
      <c r="AB27" s="16" t="s">
        <v>24</v>
      </c>
      <c r="AC27" s="15">
        <f>IF(ISBLANK(AB27),0,VLOOKUP(AB27,UNITGRADES,2,FALSE))</f>
        <v>80</v>
      </c>
      <c r="AD27" s="16" t="s">
        <v>23</v>
      </c>
      <c r="AE27" s="15">
        <f>IF(ISBLANK(AD27),0,VLOOKUP(AD27,UNITGRADES,2,FALSE))</f>
        <v>70</v>
      </c>
      <c r="AF27" s="16" t="s">
        <v>25</v>
      </c>
      <c r="AG27" s="15">
        <f>IF(ISBLANK(AF27),0,VLOOKUP(AF27,UNITGRADES,2,FALSE))</f>
        <v>90</v>
      </c>
      <c r="AH27" s="16" t="s">
        <v>24</v>
      </c>
      <c r="AI27" s="15">
        <f>IF(ISBLANK(AH27),0,VLOOKUP(AH27,UNITGRADES,2,FALSE))</f>
        <v>80</v>
      </c>
      <c r="AJ27" s="16" t="s">
        <v>25</v>
      </c>
      <c r="AK27" s="15">
        <f>IF(ISBLANK(AJ27),0,VLOOKUP(AJ27,UNITGRADES,2,FALSE))</f>
        <v>90</v>
      </c>
      <c r="AL27" s="16" t="s">
        <v>25</v>
      </c>
      <c r="AM27" s="15">
        <f>IF(ISBLANK(AL27),0,VLOOKUP(AL27,UNITGRADES,2,FALSE))</f>
        <v>90</v>
      </c>
      <c r="AN27" s="16" t="s">
        <v>24</v>
      </c>
      <c r="AO27" s="15">
        <f>IF(ISBLANK(AN27),0,VLOOKUP(AN27,UNITGRADES,2,FALSE))</f>
        <v>80</v>
      </c>
      <c r="AP27" s="16" t="s">
        <v>24</v>
      </c>
      <c r="AQ27" s="15">
        <f>IF(ISBLANK(AP27),0,VLOOKUP(AP27,UNITGRADES,2,FALSE))</f>
        <v>80</v>
      </c>
      <c r="AR27" s="16" t="s">
        <v>23</v>
      </c>
      <c r="AS27" s="11">
        <f>IF(ISBLANK(AR27),0,VLOOKUP(AR27,UNITGRADES,2,FALSE))</f>
        <v>70</v>
      </c>
      <c r="AT27" s="13">
        <f t="shared" si="1"/>
        <v>5</v>
      </c>
      <c r="AU27" s="13">
        <f t="shared" si="2"/>
        <v>8</v>
      </c>
      <c r="AV27" s="13">
        <f t="shared" si="3"/>
        <v>5</v>
      </c>
      <c r="AW27" s="17">
        <f t="shared" si="4"/>
        <v>1370</v>
      </c>
      <c r="AX27" s="18" t="str">
        <f>VLOOKUP(AW27,FINALGRADES,3,TRUE)</f>
        <v>MMP</v>
      </c>
      <c r="AY27" s="10">
        <f>VLOOKUP(AW27,FINALGRADES,4,TRUE)</f>
        <v>200</v>
      </c>
      <c r="AZ27" s="11">
        <f>VLOOKUP(G27,TARGETPOINTS,2,FALSE)</f>
        <v>120</v>
      </c>
      <c r="BA27" s="11" t="str">
        <f t="shared" si="5"/>
        <v>Over</v>
      </c>
      <c r="BB27" s="10"/>
      <c r="BC27" s="11"/>
      <c r="BD27" s="11"/>
    </row>
    <row r="28" spans="1:56" ht="11.25" customHeight="1">
      <c r="A28" s="13">
        <v>2</v>
      </c>
      <c r="B28" s="13">
        <v>5537927</v>
      </c>
      <c r="C28" s="12" t="s">
        <v>79</v>
      </c>
      <c r="D28" s="12" t="s">
        <v>80</v>
      </c>
      <c r="E28" s="13" t="s">
        <v>21</v>
      </c>
      <c r="F28" s="14">
        <v>33520</v>
      </c>
      <c r="G28" s="13" t="s">
        <v>70</v>
      </c>
      <c r="H28" s="16" t="s">
        <v>24</v>
      </c>
      <c r="I28" s="15">
        <f>IF(ISBLANK(H28),0,VLOOKUP(H28,UNITGRADES,2,FALSE))</f>
        <v>80</v>
      </c>
      <c r="J28" s="16" t="s">
        <v>25</v>
      </c>
      <c r="K28" s="15">
        <f>IF(ISBLANK(J28),0,VLOOKUP(J28,UNITGRADES,2,FALSE))</f>
        <v>90</v>
      </c>
      <c r="L28" s="16" t="s">
        <v>25</v>
      </c>
      <c r="M28" s="15">
        <f>IF(ISBLANK(L28),0,VLOOKUP(L28,UNITGRADES,2,FALSE))</f>
        <v>90</v>
      </c>
      <c r="N28" s="16" t="s">
        <v>25</v>
      </c>
      <c r="O28" s="15">
        <f>IF(ISBLANK(N28),0,VLOOKUP(N28,UNITGRADES,2,FALSE))</f>
        <v>90</v>
      </c>
      <c r="P28" s="16" t="s">
        <v>23</v>
      </c>
      <c r="Q28" s="15">
        <f>IF(ISBLANK(P28),0,VLOOKUP(P28,UNITGRADES,2,FALSE))</f>
        <v>70</v>
      </c>
      <c r="R28" s="16" t="s">
        <v>23</v>
      </c>
      <c r="S28" s="15">
        <f>IF(ISBLANK(R28),0,VLOOKUP(R28,UNITGRADES,2,FALSE))</f>
        <v>70</v>
      </c>
      <c r="T28" s="16" t="s">
        <v>24</v>
      </c>
      <c r="U28" s="15">
        <f>IF(ISBLANK(T28),0,VLOOKUP(T28,UNITGRADES,2,FALSE))</f>
        <v>80</v>
      </c>
      <c r="V28" s="16" t="s">
        <v>25</v>
      </c>
      <c r="W28" s="15">
        <f>IF(ISBLANK(H28),0,VLOOKUP(H28,UNITGRADES,2,FALSE))</f>
        <v>80</v>
      </c>
      <c r="X28" s="16" t="s">
        <v>23</v>
      </c>
      <c r="Y28" s="15">
        <f>IF(ISBLANK(X28),0,VLOOKUP(X28,UNITGRADES,2,FALSE))</f>
        <v>70</v>
      </c>
      <c r="Z28" s="15">
        <f t="shared" si="0"/>
        <v>720</v>
      </c>
      <c r="AA28" s="15" t="str">
        <f>VLOOKUP(Z28*2,FINALGRADES,3,TRUE)</f>
        <v>DMM</v>
      </c>
      <c r="AB28" s="16" t="s">
        <v>24</v>
      </c>
      <c r="AC28" s="15">
        <f>IF(ISBLANK(AB28),0,VLOOKUP(AB28,UNITGRADES,2,FALSE))</f>
        <v>80</v>
      </c>
      <c r="AD28" s="16" t="s">
        <v>25</v>
      </c>
      <c r="AE28" s="15">
        <f>IF(ISBLANK(AD28),0,VLOOKUP(AD28,UNITGRADES,2,FALSE))</f>
        <v>90</v>
      </c>
      <c r="AF28" s="16" t="s">
        <v>25</v>
      </c>
      <c r="AG28" s="15">
        <f>IF(ISBLANK(AF28),0,VLOOKUP(AF28,UNITGRADES,2,FALSE))</f>
        <v>90</v>
      </c>
      <c r="AH28" s="16" t="s">
        <v>25</v>
      </c>
      <c r="AI28" s="15">
        <f>IF(ISBLANK(AH28),0,VLOOKUP(AH28,UNITGRADES,2,FALSE))</f>
        <v>90</v>
      </c>
      <c r="AJ28" s="16" t="s">
        <v>24</v>
      </c>
      <c r="AK28" s="15">
        <f>IF(ISBLANK(AJ28),0,VLOOKUP(AJ28,UNITGRADES,2,FALSE))</f>
        <v>80</v>
      </c>
      <c r="AL28" s="16" t="s">
        <v>23</v>
      </c>
      <c r="AM28" s="15">
        <f>IF(ISBLANK(AL28),0,VLOOKUP(AL28,UNITGRADES,2,FALSE))</f>
        <v>70</v>
      </c>
      <c r="AN28" s="16" t="s">
        <v>24</v>
      </c>
      <c r="AO28" s="15">
        <f>IF(ISBLANK(AN28),0,VLOOKUP(AN28,UNITGRADES,2,FALSE))</f>
        <v>80</v>
      </c>
      <c r="AP28" s="16" t="s">
        <v>23</v>
      </c>
      <c r="AQ28" s="15">
        <f>IF(ISBLANK(AP28),0,VLOOKUP(AP28,UNITGRADES,2,FALSE))</f>
        <v>70</v>
      </c>
      <c r="AR28" s="16" t="s">
        <v>25</v>
      </c>
      <c r="AS28" s="11">
        <f>IF(ISBLANK(AR28),0,VLOOKUP(AR28,UNITGRADES,2,FALSE))</f>
        <v>90</v>
      </c>
      <c r="AT28" s="13">
        <f t="shared" si="1"/>
        <v>5</v>
      </c>
      <c r="AU28" s="13">
        <f t="shared" si="2"/>
        <v>5</v>
      </c>
      <c r="AV28" s="13">
        <f t="shared" si="3"/>
        <v>8</v>
      </c>
      <c r="AW28" s="17">
        <f t="shared" si="4"/>
        <v>1370</v>
      </c>
      <c r="AX28" s="18" t="str">
        <f>VLOOKUP(AW28,FINALGRADES,3,TRUE)</f>
        <v>MMP</v>
      </c>
      <c r="AY28" s="10">
        <f>VLOOKUP(AW28,FINALGRADES,4,TRUE)</f>
        <v>200</v>
      </c>
      <c r="AZ28" s="11">
        <f>VLOOKUP(G28,TARGETPOINTS,2,FALSE)</f>
        <v>320</v>
      </c>
      <c r="BA28" s="11" t="str">
        <f t="shared" si="5"/>
        <v>Under</v>
      </c>
      <c r="BB28" s="10"/>
      <c r="BC28" s="11"/>
      <c r="BD28" s="11"/>
    </row>
    <row r="29" spans="1:56" ht="11.25" customHeight="1">
      <c r="A29" s="13">
        <v>3</v>
      </c>
      <c r="B29" s="13">
        <v>5081252</v>
      </c>
      <c r="C29" s="12" t="s">
        <v>81</v>
      </c>
      <c r="D29" s="12" t="s">
        <v>82</v>
      </c>
      <c r="E29" s="13" t="s">
        <v>21</v>
      </c>
      <c r="F29" s="14">
        <v>33873</v>
      </c>
      <c r="G29" s="13" t="s">
        <v>29</v>
      </c>
      <c r="H29" s="16" t="s">
        <v>25</v>
      </c>
      <c r="I29" s="15">
        <f>IF(ISBLANK(H29),0,VLOOKUP(H29,UNITGRADES,2,FALSE))</f>
        <v>90</v>
      </c>
      <c r="J29" s="16" t="s">
        <v>25</v>
      </c>
      <c r="K29" s="15">
        <f>IF(ISBLANK(J29),0,VLOOKUP(J29,UNITGRADES,2,FALSE))</f>
        <v>90</v>
      </c>
      <c r="L29" s="16" t="s">
        <v>23</v>
      </c>
      <c r="M29" s="15">
        <f>IF(ISBLANK(L29),0,VLOOKUP(L29,UNITGRADES,2,FALSE))</f>
        <v>70</v>
      </c>
      <c r="N29" s="16" t="s">
        <v>24</v>
      </c>
      <c r="O29" s="15">
        <f>IF(ISBLANK(N29),0,VLOOKUP(N29,UNITGRADES,2,FALSE))</f>
        <v>80</v>
      </c>
      <c r="P29" s="16" t="s">
        <v>25</v>
      </c>
      <c r="Q29" s="15">
        <f>IF(ISBLANK(P29),0,VLOOKUP(P29,UNITGRADES,2,FALSE))</f>
        <v>90</v>
      </c>
      <c r="R29" s="16" t="s">
        <v>23</v>
      </c>
      <c r="S29" s="15">
        <f>IF(ISBLANK(R29),0,VLOOKUP(R29,UNITGRADES,2,FALSE))</f>
        <v>70</v>
      </c>
      <c r="T29" s="16" t="s">
        <v>24</v>
      </c>
      <c r="U29" s="15">
        <f>IF(ISBLANK(T29),0,VLOOKUP(T29,UNITGRADES,2,FALSE))</f>
        <v>80</v>
      </c>
      <c r="V29" s="16" t="s">
        <v>24</v>
      </c>
      <c r="W29" s="15">
        <f>IF(ISBLANK(H29),0,VLOOKUP(H29,UNITGRADES,2,FALSE))</f>
        <v>90</v>
      </c>
      <c r="X29" s="16" t="s">
        <v>23</v>
      </c>
      <c r="Y29" s="15">
        <f>IF(ISBLANK(X29),0,VLOOKUP(X29,UNITGRADES,2,FALSE))</f>
        <v>70</v>
      </c>
      <c r="Z29" s="15">
        <f t="shared" si="0"/>
        <v>730</v>
      </c>
      <c r="AA29" s="15" t="str">
        <f>VLOOKUP(Z29*2,FINALGRADES,3,TRUE)</f>
        <v>DDM</v>
      </c>
      <c r="AB29" s="16" t="s">
        <v>25</v>
      </c>
      <c r="AC29" s="15">
        <f>IF(ISBLANK(AB29),0,VLOOKUP(AB29,UNITGRADES,2,FALSE))</f>
        <v>90</v>
      </c>
      <c r="AD29" s="16" t="s">
        <v>24</v>
      </c>
      <c r="AE29" s="15">
        <f>IF(ISBLANK(AD29),0,VLOOKUP(AD29,UNITGRADES,2,FALSE))</f>
        <v>80</v>
      </c>
      <c r="AF29" s="16" t="s">
        <v>23</v>
      </c>
      <c r="AG29" s="15">
        <f>IF(ISBLANK(AF29),0,VLOOKUP(AF29,UNITGRADES,2,FALSE))</f>
        <v>70</v>
      </c>
      <c r="AH29" s="16" t="s">
        <v>25</v>
      </c>
      <c r="AI29" s="15">
        <f>IF(ISBLANK(AH29),0,VLOOKUP(AH29,UNITGRADES,2,FALSE))</f>
        <v>90</v>
      </c>
      <c r="AJ29" s="16" t="s">
        <v>25</v>
      </c>
      <c r="AK29" s="15">
        <f>IF(ISBLANK(AJ29),0,VLOOKUP(AJ29,UNITGRADES,2,FALSE))</f>
        <v>90</v>
      </c>
      <c r="AL29" s="16" t="s">
        <v>23</v>
      </c>
      <c r="AM29" s="15">
        <f>IF(ISBLANK(AL29),0,VLOOKUP(AL29,UNITGRADES,2,FALSE))</f>
        <v>70</v>
      </c>
      <c r="AN29" s="16" t="s">
        <v>23</v>
      </c>
      <c r="AO29" s="15">
        <f>IF(ISBLANK(AN29),0,VLOOKUP(AN29,UNITGRADES,2,FALSE))</f>
        <v>70</v>
      </c>
      <c r="AP29" s="16" t="s">
        <v>24</v>
      </c>
      <c r="AQ29" s="15">
        <f>IF(ISBLANK(AP29),0,VLOOKUP(AP29,UNITGRADES,2,FALSE))</f>
        <v>80</v>
      </c>
      <c r="AR29" s="16" t="s">
        <v>23</v>
      </c>
      <c r="AS29" s="11">
        <f>IF(ISBLANK(AR29),0,VLOOKUP(AR29,UNITGRADES,2,FALSE))</f>
        <v>70</v>
      </c>
      <c r="AT29" s="13">
        <f t="shared" si="1"/>
        <v>7</v>
      </c>
      <c r="AU29" s="13">
        <f t="shared" si="2"/>
        <v>5</v>
      </c>
      <c r="AV29" s="13">
        <f t="shared" si="3"/>
        <v>6</v>
      </c>
      <c r="AW29" s="17">
        <f t="shared" si="4"/>
        <v>1370</v>
      </c>
      <c r="AX29" s="18" t="str">
        <f>VLOOKUP(AW29,FINALGRADES,3,TRUE)</f>
        <v>MMP</v>
      </c>
      <c r="AY29" s="10">
        <f>VLOOKUP(AW29,FINALGRADES,4,TRUE)</f>
        <v>200</v>
      </c>
      <c r="AZ29" s="11">
        <f>VLOOKUP(G29,TARGETPOINTS,2,FALSE)</f>
        <v>360</v>
      </c>
      <c r="BA29" s="11" t="str">
        <f t="shared" si="5"/>
        <v>Under</v>
      </c>
      <c r="BB29" s="10"/>
      <c r="BC29" s="11"/>
      <c r="BD29" s="11"/>
    </row>
    <row r="30" spans="1:56" ht="11.25" customHeight="1">
      <c r="A30" s="13">
        <v>4</v>
      </c>
      <c r="B30" s="13">
        <v>5390328</v>
      </c>
      <c r="C30" s="12" t="s">
        <v>83</v>
      </c>
      <c r="D30" s="12" t="s">
        <v>72</v>
      </c>
      <c r="E30" s="13" t="s">
        <v>21</v>
      </c>
      <c r="F30" s="14">
        <v>33671</v>
      </c>
      <c r="G30" s="13" t="s">
        <v>22</v>
      </c>
      <c r="H30" s="16" t="s">
        <v>25</v>
      </c>
      <c r="I30" s="15">
        <f>IF(ISBLANK(H30),0,VLOOKUP(H30,UNITGRADES,2,FALSE))</f>
        <v>90</v>
      </c>
      <c r="J30" s="16" t="s">
        <v>24</v>
      </c>
      <c r="K30" s="15">
        <f>IF(ISBLANK(J30),0,VLOOKUP(J30,UNITGRADES,2,FALSE))</f>
        <v>80</v>
      </c>
      <c r="L30" s="16" t="s">
        <v>25</v>
      </c>
      <c r="M30" s="15">
        <f>IF(ISBLANK(L30),0,VLOOKUP(L30,UNITGRADES,2,FALSE))</f>
        <v>90</v>
      </c>
      <c r="N30" s="16" t="s">
        <v>23</v>
      </c>
      <c r="O30" s="15">
        <f>IF(ISBLANK(N30),0,VLOOKUP(N30,UNITGRADES,2,FALSE))</f>
        <v>70</v>
      </c>
      <c r="P30" s="16" t="s">
        <v>25</v>
      </c>
      <c r="Q30" s="15">
        <f>IF(ISBLANK(P30),0,VLOOKUP(P30,UNITGRADES,2,FALSE))</f>
        <v>90</v>
      </c>
      <c r="R30" s="16" t="s">
        <v>23</v>
      </c>
      <c r="S30" s="15">
        <f>IF(ISBLANK(R30),0,VLOOKUP(R30,UNITGRADES,2,FALSE))</f>
        <v>70</v>
      </c>
      <c r="T30" s="16" t="s">
        <v>24</v>
      </c>
      <c r="U30" s="15">
        <f>IF(ISBLANK(T30),0,VLOOKUP(T30,UNITGRADES,2,FALSE))</f>
        <v>80</v>
      </c>
      <c r="V30" s="16" t="s">
        <v>23</v>
      </c>
      <c r="W30" s="15">
        <f>IF(ISBLANK(H30),0,VLOOKUP(H30,UNITGRADES,2,FALSE))</f>
        <v>90</v>
      </c>
      <c r="X30" s="16" t="s">
        <v>24</v>
      </c>
      <c r="Y30" s="15">
        <f>IF(ISBLANK(X30),0,VLOOKUP(X30,UNITGRADES,2,FALSE))</f>
        <v>80</v>
      </c>
      <c r="Z30" s="15">
        <f t="shared" si="0"/>
        <v>740</v>
      </c>
      <c r="AA30" s="15" t="str">
        <f>VLOOKUP(Z30*2,FINALGRADES,3,TRUE)</f>
        <v>DDM</v>
      </c>
      <c r="AB30" s="16" t="s">
        <v>25</v>
      </c>
      <c r="AC30" s="15">
        <f>IF(ISBLANK(AB30),0,VLOOKUP(AB30,UNITGRADES,2,FALSE))</f>
        <v>90</v>
      </c>
      <c r="AD30" s="16" t="s">
        <v>23</v>
      </c>
      <c r="AE30" s="15">
        <f>IF(ISBLANK(AD30),0,VLOOKUP(AD30,UNITGRADES,2,FALSE))</f>
        <v>70</v>
      </c>
      <c r="AF30" s="16" t="s">
        <v>23</v>
      </c>
      <c r="AG30" s="15">
        <f>IF(ISBLANK(AF30),0,VLOOKUP(AF30,UNITGRADES,2,FALSE))</f>
        <v>70</v>
      </c>
      <c r="AH30" s="16" t="s">
        <v>24</v>
      </c>
      <c r="AI30" s="15">
        <f>IF(ISBLANK(AH30),0,VLOOKUP(AH30,UNITGRADES,2,FALSE))</f>
        <v>80</v>
      </c>
      <c r="AJ30" s="16" t="s">
        <v>23</v>
      </c>
      <c r="AK30" s="15">
        <f>IF(ISBLANK(AJ30),0,VLOOKUP(AJ30,UNITGRADES,2,FALSE))</f>
        <v>70</v>
      </c>
      <c r="AL30" s="16" t="s">
        <v>24</v>
      </c>
      <c r="AM30" s="15">
        <f>IF(ISBLANK(AL30),0,VLOOKUP(AL30,UNITGRADES,2,FALSE))</f>
        <v>80</v>
      </c>
      <c r="AN30" s="16" t="s">
        <v>25</v>
      </c>
      <c r="AO30" s="15">
        <f>IF(ISBLANK(AN30),0,VLOOKUP(AN30,UNITGRADES,2,FALSE))</f>
        <v>90</v>
      </c>
      <c r="AP30" s="16" t="s">
        <v>24</v>
      </c>
      <c r="AQ30" s="15">
        <f>IF(ISBLANK(AP30),0,VLOOKUP(AP30,UNITGRADES,2,FALSE))</f>
        <v>80</v>
      </c>
      <c r="AR30" s="16" t="s">
        <v>23</v>
      </c>
      <c r="AS30" s="11">
        <f>IF(ISBLANK(AR30),0,VLOOKUP(AR30,UNITGRADES,2,FALSE))</f>
        <v>70</v>
      </c>
      <c r="AT30" s="13">
        <f t="shared" si="1"/>
        <v>7</v>
      </c>
      <c r="AU30" s="13">
        <f t="shared" si="2"/>
        <v>6</v>
      </c>
      <c r="AV30" s="13">
        <f t="shared" si="3"/>
        <v>5</v>
      </c>
      <c r="AW30" s="17">
        <f t="shared" si="4"/>
        <v>1370</v>
      </c>
      <c r="AX30" s="18" t="str">
        <f>VLOOKUP(AW30,FINALGRADES,3,TRUE)</f>
        <v>MMP</v>
      </c>
      <c r="AY30" s="10">
        <f>VLOOKUP(AW30,FINALGRADES,4,TRUE)</f>
        <v>200</v>
      </c>
      <c r="AZ30" s="11">
        <f>VLOOKUP(G30,TARGETPOINTS,2,FALSE)</f>
        <v>160</v>
      </c>
      <c r="BA30" s="11" t="str">
        <f t="shared" si="5"/>
        <v>Over</v>
      </c>
      <c r="BB30" s="10"/>
      <c r="BC30" s="11"/>
      <c r="BD30" s="11"/>
    </row>
    <row r="31" spans="1:56" ht="11.25" customHeight="1">
      <c r="A31" s="13">
        <v>4</v>
      </c>
      <c r="B31" s="13">
        <v>8224504</v>
      </c>
      <c r="C31" s="12" t="s">
        <v>84</v>
      </c>
      <c r="D31" s="12" t="s">
        <v>85</v>
      </c>
      <c r="E31" s="13" t="s">
        <v>21</v>
      </c>
      <c r="F31" s="14">
        <v>33016</v>
      </c>
      <c r="G31" s="13" t="s">
        <v>50</v>
      </c>
      <c r="H31" s="16" t="s">
        <v>25</v>
      </c>
      <c r="I31" s="15">
        <f>IF(ISBLANK(H31),0,VLOOKUP(H31,UNITGRADES,2,FALSE))</f>
        <v>90</v>
      </c>
      <c r="J31" s="16" t="s">
        <v>24</v>
      </c>
      <c r="K31" s="15">
        <f>IF(ISBLANK(J31),0,VLOOKUP(J31,UNITGRADES,2,FALSE))</f>
        <v>80</v>
      </c>
      <c r="L31" s="16" t="s">
        <v>24</v>
      </c>
      <c r="M31" s="15">
        <f>IF(ISBLANK(L31),0,VLOOKUP(L31,UNITGRADES,2,FALSE))</f>
        <v>80</v>
      </c>
      <c r="N31" s="16" t="s">
        <v>23</v>
      </c>
      <c r="O31" s="15">
        <f>IF(ISBLANK(N31),0,VLOOKUP(N31,UNITGRADES,2,FALSE))</f>
        <v>70</v>
      </c>
      <c r="P31" s="16" t="s">
        <v>23</v>
      </c>
      <c r="Q31" s="15">
        <f>IF(ISBLANK(P31),0,VLOOKUP(P31,UNITGRADES,2,FALSE))</f>
        <v>70</v>
      </c>
      <c r="R31" s="16" t="s">
        <v>24</v>
      </c>
      <c r="S31" s="15">
        <f>IF(ISBLANK(R31),0,VLOOKUP(R31,UNITGRADES,2,FALSE))</f>
        <v>80</v>
      </c>
      <c r="T31" s="16" t="s">
        <v>24</v>
      </c>
      <c r="U31" s="15">
        <f>IF(ISBLANK(T31),0,VLOOKUP(T31,UNITGRADES,2,FALSE))</f>
        <v>80</v>
      </c>
      <c r="V31" s="16" t="s">
        <v>24</v>
      </c>
      <c r="W31" s="15">
        <f>IF(ISBLANK(H31),0,VLOOKUP(H31,UNITGRADES,2,FALSE))</f>
        <v>90</v>
      </c>
      <c r="X31" s="16" t="s">
        <v>25</v>
      </c>
      <c r="Y31" s="15">
        <f>IF(ISBLANK(X31),0,VLOOKUP(X31,UNITGRADES,2,FALSE))</f>
        <v>90</v>
      </c>
      <c r="Z31" s="15">
        <f t="shared" si="0"/>
        <v>730</v>
      </c>
      <c r="AA31" s="15" t="str">
        <f>VLOOKUP(Z31*2,FINALGRADES,3,TRUE)</f>
        <v>DDM</v>
      </c>
      <c r="AB31" s="16" t="s">
        <v>23</v>
      </c>
      <c r="AC31" s="15">
        <f>IF(ISBLANK(AB31),0,VLOOKUP(AB31,UNITGRADES,2,FALSE))</f>
        <v>70</v>
      </c>
      <c r="AD31" s="16" t="s">
        <v>23</v>
      </c>
      <c r="AE31" s="15">
        <f>IF(ISBLANK(AD31),0,VLOOKUP(AD31,UNITGRADES,2,FALSE))</f>
        <v>70</v>
      </c>
      <c r="AF31" s="16" t="s">
        <v>25</v>
      </c>
      <c r="AG31" s="15">
        <f>IF(ISBLANK(AF31),0,VLOOKUP(AF31,UNITGRADES,2,FALSE))</f>
        <v>90</v>
      </c>
      <c r="AH31" s="16" t="s">
        <v>25</v>
      </c>
      <c r="AI31" s="15">
        <f>IF(ISBLANK(AH31),0,VLOOKUP(AH31,UNITGRADES,2,FALSE))</f>
        <v>90</v>
      </c>
      <c r="AJ31" s="16" t="s">
        <v>23</v>
      </c>
      <c r="AK31" s="15">
        <f>IF(ISBLANK(AJ31),0,VLOOKUP(AJ31,UNITGRADES,2,FALSE))</f>
        <v>70</v>
      </c>
      <c r="AL31" s="16" t="s">
        <v>24</v>
      </c>
      <c r="AM31" s="15">
        <f>IF(ISBLANK(AL31),0,VLOOKUP(AL31,UNITGRADES,2,FALSE))</f>
        <v>80</v>
      </c>
      <c r="AN31" s="16" t="s">
        <v>25</v>
      </c>
      <c r="AO31" s="15">
        <f>IF(ISBLANK(AN31),0,VLOOKUP(AN31,UNITGRADES,2,FALSE))</f>
        <v>90</v>
      </c>
      <c r="AP31" s="16" t="s">
        <v>24</v>
      </c>
      <c r="AQ31" s="15">
        <f>IF(ISBLANK(AP31),0,VLOOKUP(AP31,UNITGRADES,2,FALSE))</f>
        <v>80</v>
      </c>
      <c r="AR31" s="16" t="s">
        <v>23</v>
      </c>
      <c r="AS31" s="11">
        <f>IF(ISBLANK(AR31),0,VLOOKUP(AR31,UNITGRADES,2,FALSE))</f>
        <v>70</v>
      </c>
      <c r="AT31" s="13">
        <f t="shared" si="1"/>
        <v>6</v>
      </c>
      <c r="AU31" s="13">
        <f t="shared" si="2"/>
        <v>7</v>
      </c>
      <c r="AV31" s="13">
        <f t="shared" si="3"/>
        <v>5</v>
      </c>
      <c r="AW31" s="17">
        <f t="shared" si="4"/>
        <v>1370</v>
      </c>
      <c r="AX31" s="18" t="str">
        <f>VLOOKUP(AW31,FINALGRADES,3,TRUE)</f>
        <v>MMP</v>
      </c>
      <c r="AY31" s="10">
        <f>VLOOKUP(AW31,FINALGRADES,4,TRUE)</f>
        <v>200</v>
      </c>
      <c r="AZ31" s="11">
        <f>VLOOKUP(G31,TARGETPOINTS,2,FALSE)</f>
        <v>200</v>
      </c>
      <c r="BA31" s="11" t="str">
        <f t="shared" si="5"/>
        <v>Same</v>
      </c>
      <c r="BB31" s="10"/>
      <c r="BC31" s="11"/>
      <c r="BD31" s="11"/>
    </row>
    <row r="32" spans="1:56" ht="11.25" customHeight="1">
      <c r="A32" s="13">
        <v>2</v>
      </c>
      <c r="B32" s="13">
        <v>8716726</v>
      </c>
      <c r="C32" s="12" t="s">
        <v>86</v>
      </c>
      <c r="D32" s="12" t="s">
        <v>87</v>
      </c>
      <c r="E32" s="13" t="s">
        <v>21</v>
      </c>
      <c r="F32" s="14">
        <v>33891</v>
      </c>
      <c r="G32" s="13" t="s">
        <v>50</v>
      </c>
      <c r="H32" s="16" t="s">
        <v>24</v>
      </c>
      <c r="I32" s="15">
        <f>IF(ISBLANK(H32),0,VLOOKUP(H32,UNITGRADES,2,FALSE))</f>
        <v>80</v>
      </c>
      <c r="J32" s="16" t="s">
        <v>24</v>
      </c>
      <c r="K32" s="15">
        <f>IF(ISBLANK(J32),0,VLOOKUP(J32,UNITGRADES,2,FALSE))</f>
        <v>80</v>
      </c>
      <c r="L32" s="16" t="s">
        <v>25</v>
      </c>
      <c r="M32" s="15">
        <f>IF(ISBLANK(L32),0,VLOOKUP(L32,UNITGRADES,2,FALSE))</f>
        <v>90</v>
      </c>
      <c r="N32" s="16" t="s">
        <v>25</v>
      </c>
      <c r="O32" s="15">
        <f>IF(ISBLANK(N32),0,VLOOKUP(N32,UNITGRADES,2,FALSE))</f>
        <v>90</v>
      </c>
      <c r="P32" s="16" t="s">
        <v>25</v>
      </c>
      <c r="Q32" s="15">
        <f>IF(ISBLANK(P32),0,VLOOKUP(P32,UNITGRADES,2,FALSE))</f>
        <v>90</v>
      </c>
      <c r="R32" s="16" t="s">
        <v>23</v>
      </c>
      <c r="S32" s="15">
        <f>IF(ISBLANK(R32),0,VLOOKUP(R32,UNITGRADES,2,FALSE))</f>
        <v>70</v>
      </c>
      <c r="T32" s="16" t="s">
        <v>25</v>
      </c>
      <c r="U32" s="15">
        <f>IF(ISBLANK(T32),0,VLOOKUP(T32,UNITGRADES,2,FALSE))</f>
        <v>90</v>
      </c>
      <c r="V32" s="16" t="s">
        <v>24</v>
      </c>
      <c r="W32" s="15">
        <f>IF(ISBLANK(H32),0,VLOOKUP(H32,UNITGRADES,2,FALSE))</f>
        <v>80</v>
      </c>
      <c r="X32" s="16" t="s">
        <v>24</v>
      </c>
      <c r="Y32" s="15">
        <f>IF(ISBLANK(X32),0,VLOOKUP(X32,UNITGRADES,2,FALSE))</f>
        <v>80</v>
      </c>
      <c r="Z32" s="15">
        <f t="shared" si="0"/>
        <v>750</v>
      </c>
      <c r="AA32" s="15" t="str">
        <f>VLOOKUP(Z32*2,FINALGRADES,3,TRUE)</f>
        <v>DDD</v>
      </c>
      <c r="AB32" s="16" t="s">
        <v>23</v>
      </c>
      <c r="AC32" s="15">
        <f>IF(ISBLANK(AB32),0,VLOOKUP(AB32,UNITGRADES,2,FALSE))</f>
        <v>70</v>
      </c>
      <c r="AD32" s="16" t="s">
        <v>24</v>
      </c>
      <c r="AE32" s="15">
        <f>IF(ISBLANK(AD32),0,VLOOKUP(AD32,UNITGRADES,2,FALSE))</f>
        <v>80</v>
      </c>
      <c r="AF32" s="16" t="s">
        <v>24</v>
      </c>
      <c r="AG32" s="15">
        <f>IF(ISBLANK(AF32),0,VLOOKUP(AF32,UNITGRADES,2,FALSE))</f>
        <v>80</v>
      </c>
      <c r="AH32" s="16" t="s">
        <v>25</v>
      </c>
      <c r="AI32" s="15">
        <f>IF(ISBLANK(AH32),0,VLOOKUP(AH32,UNITGRADES,2,FALSE))</f>
        <v>90</v>
      </c>
      <c r="AJ32" s="16" t="s">
        <v>23</v>
      </c>
      <c r="AK32" s="15">
        <f>IF(ISBLANK(AJ32),0,VLOOKUP(AJ32,UNITGRADES,2,FALSE))</f>
        <v>70</v>
      </c>
      <c r="AL32" s="16" t="s">
        <v>23</v>
      </c>
      <c r="AM32" s="15">
        <f>IF(ISBLANK(AL32),0,VLOOKUP(AL32,UNITGRADES,2,FALSE))</f>
        <v>70</v>
      </c>
      <c r="AN32" s="16" t="s">
        <v>25</v>
      </c>
      <c r="AO32" s="15">
        <f>IF(ISBLANK(AN32),0,VLOOKUP(AN32,UNITGRADES,2,FALSE))</f>
        <v>90</v>
      </c>
      <c r="AP32" s="16" t="s">
        <v>24</v>
      </c>
      <c r="AQ32" s="15">
        <f>IF(ISBLANK(AP32),0,VLOOKUP(AP32,UNITGRADES,2,FALSE))</f>
        <v>80</v>
      </c>
      <c r="AR32" s="16" t="s">
        <v>25</v>
      </c>
      <c r="AS32" s="11">
        <f>IF(ISBLANK(AR32),0,VLOOKUP(AR32,UNITGRADES,2,FALSE))</f>
        <v>90</v>
      </c>
      <c r="AT32" s="13">
        <f t="shared" si="1"/>
        <v>4</v>
      </c>
      <c r="AU32" s="13">
        <f t="shared" si="2"/>
        <v>7</v>
      </c>
      <c r="AV32" s="13">
        <f t="shared" si="3"/>
        <v>7</v>
      </c>
      <c r="AW32" s="17">
        <f t="shared" si="4"/>
        <v>1380</v>
      </c>
      <c r="AX32" s="18" t="str">
        <f>VLOOKUP(AW32,FINALGRADES,3,TRUE)</f>
        <v>MMM</v>
      </c>
      <c r="AY32" s="10">
        <f>VLOOKUP(AW32,FINALGRADES,4,TRUE)</f>
        <v>240</v>
      </c>
      <c r="AZ32" s="11">
        <f>VLOOKUP(G32,TARGETPOINTS,2,FALSE)</f>
        <v>200</v>
      </c>
      <c r="BA32" s="11" t="str">
        <f t="shared" si="5"/>
        <v>Over</v>
      </c>
      <c r="BB32" s="10"/>
      <c r="BC32" s="11"/>
      <c r="BD32" s="11"/>
    </row>
    <row r="33" spans="1:56" ht="11.25" customHeight="1">
      <c r="A33" s="13">
        <v>3</v>
      </c>
      <c r="B33" s="13">
        <v>8722593</v>
      </c>
      <c r="C33" s="12" t="s">
        <v>88</v>
      </c>
      <c r="D33" s="12" t="s">
        <v>89</v>
      </c>
      <c r="E33" s="13" t="s">
        <v>21</v>
      </c>
      <c r="F33" s="14">
        <v>33036</v>
      </c>
      <c r="G33" s="13" t="s">
        <v>22</v>
      </c>
      <c r="H33" s="16" t="s">
        <v>25</v>
      </c>
      <c r="I33" s="15">
        <f>IF(ISBLANK(H33),0,VLOOKUP(H33,UNITGRADES,2,FALSE))</f>
        <v>90</v>
      </c>
      <c r="J33" s="16" t="s">
        <v>25</v>
      </c>
      <c r="K33" s="15">
        <f>IF(ISBLANK(J33),0,VLOOKUP(J33,UNITGRADES,2,FALSE))</f>
        <v>90</v>
      </c>
      <c r="L33" s="16" t="s">
        <v>24</v>
      </c>
      <c r="M33" s="15">
        <f>IF(ISBLANK(L33),0,VLOOKUP(L33,UNITGRADES,2,FALSE))</f>
        <v>80</v>
      </c>
      <c r="N33" s="16" t="s">
        <v>24</v>
      </c>
      <c r="O33" s="15">
        <f>IF(ISBLANK(N33),0,VLOOKUP(N33,UNITGRADES,2,FALSE))</f>
        <v>80</v>
      </c>
      <c r="P33" s="16" t="s">
        <v>25</v>
      </c>
      <c r="Q33" s="15">
        <f>IF(ISBLANK(P33),0,VLOOKUP(P33,UNITGRADES,2,FALSE))</f>
        <v>90</v>
      </c>
      <c r="R33" s="16" t="s">
        <v>24</v>
      </c>
      <c r="S33" s="15">
        <f>IF(ISBLANK(R33),0,VLOOKUP(R33,UNITGRADES,2,FALSE))</f>
        <v>80</v>
      </c>
      <c r="T33" s="16" t="s">
        <v>24</v>
      </c>
      <c r="U33" s="15">
        <f>IF(ISBLANK(T33),0,VLOOKUP(T33,UNITGRADES,2,FALSE))</f>
        <v>80</v>
      </c>
      <c r="V33" s="16" t="s">
        <v>24</v>
      </c>
      <c r="W33" s="15">
        <f>IF(ISBLANK(H33),0,VLOOKUP(H33,UNITGRADES,2,FALSE))</f>
        <v>90</v>
      </c>
      <c r="X33" s="16" t="s">
        <v>25</v>
      </c>
      <c r="Y33" s="15">
        <f>IF(ISBLANK(X33),0,VLOOKUP(X33,UNITGRADES,2,FALSE))</f>
        <v>90</v>
      </c>
      <c r="Z33" s="15">
        <f t="shared" si="0"/>
        <v>770</v>
      </c>
      <c r="AA33" s="15" t="str">
        <f>VLOOKUP(Z33*2,FINALGRADES,3,TRUE)</f>
        <v>DDD*</v>
      </c>
      <c r="AB33" s="16" t="s">
        <v>23</v>
      </c>
      <c r="AC33" s="15">
        <f>IF(ISBLANK(AB33),0,VLOOKUP(AB33,UNITGRADES,2,FALSE))</f>
        <v>70</v>
      </c>
      <c r="AD33" s="16" t="s">
        <v>23</v>
      </c>
      <c r="AE33" s="15">
        <f>IF(ISBLANK(AD33),0,VLOOKUP(AD33,UNITGRADES,2,FALSE))</f>
        <v>70</v>
      </c>
      <c r="AF33" s="16" t="s">
        <v>24</v>
      </c>
      <c r="AG33" s="15">
        <f>IF(ISBLANK(AF33),0,VLOOKUP(AF33,UNITGRADES,2,FALSE))</f>
        <v>80</v>
      </c>
      <c r="AH33" s="16" t="s">
        <v>24</v>
      </c>
      <c r="AI33" s="15">
        <f>IF(ISBLANK(AH33),0,VLOOKUP(AH33,UNITGRADES,2,FALSE))</f>
        <v>80</v>
      </c>
      <c r="AJ33" s="16" t="s">
        <v>23</v>
      </c>
      <c r="AK33" s="15">
        <f>IF(ISBLANK(AJ33),0,VLOOKUP(AJ33,UNITGRADES,2,FALSE))</f>
        <v>70</v>
      </c>
      <c r="AL33" s="16" t="s">
        <v>24</v>
      </c>
      <c r="AM33" s="15">
        <f>IF(ISBLANK(AL33),0,VLOOKUP(AL33,UNITGRADES,2,FALSE))</f>
        <v>80</v>
      </c>
      <c r="AN33" s="16" t="s">
        <v>25</v>
      </c>
      <c r="AO33" s="15">
        <f>IF(ISBLANK(AN33),0,VLOOKUP(AN33,UNITGRADES,2,FALSE))</f>
        <v>90</v>
      </c>
      <c r="AP33" s="16" t="s">
        <v>23</v>
      </c>
      <c r="AQ33" s="15">
        <f>IF(ISBLANK(AP33),0,VLOOKUP(AP33,UNITGRADES,2,FALSE))</f>
        <v>70</v>
      </c>
      <c r="AR33" s="16" t="s">
        <v>24</v>
      </c>
      <c r="AS33" s="11">
        <f>IF(ISBLANK(AR33),0,VLOOKUP(AR33,UNITGRADES,2,FALSE))</f>
        <v>80</v>
      </c>
      <c r="AT33" s="13">
        <f t="shared" si="1"/>
        <v>4</v>
      </c>
      <c r="AU33" s="13">
        <f t="shared" si="2"/>
        <v>9</v>
      </c>
      <c r="AV33" s="13">
        <f t="shared" si="3"/>
        <v>5</v>
      </c>
      <c r="AW33" s="17">
        <f t="shared" si="4"/>
        <v>1380</v>
      </c>
      <c r="AX33" s="18" t="str">
        <f>VLOOKUP(AW33,FINALGRADES,3,TRUE)</f>
        <v>MMM</v>
      </c>
      <c r="AY33" s="10">
        <f>VLOOKUP(AW33,FINALGRADES,4,TRUE)</f>
        <v>240</v>
      </c>
      <c r="AZ33" s="11">
        <f>VLOOKUP(G33,TARGETPOINTS,2,FALSE)</f>
        <v>160</v>
      </c>
      <c r="BA33" s="11" t="str">
        <f t="shared" si="5"/>
        <v>Over</v>
      </c>
      <c r="BB33" s="10"/>
      <c r="BC33" s="11"/>
      <c r="BD33" s="11"/>
    </row>
    <row r="34" spans="1:56" ht="11.25" customHeight="1">
      <c r="A34" s="13">
        <v>4</v>
      </c>
      <c r="B34" s="13">
        <v>7425877</v>
      </c>
      <c r="C34" s="12" t="s">
        <v>90</v>
      </c>
      <c r="D34" s="12" t="s">
        <v>91</v>
      </c>
      <c r="E34" s="13" t="s">
        <v>21</v>
      </c>
      <c r="F34" s="14">
        <v>33572</v>
      </c>
      <c r="G34" s="13" t="s">
        <v>32</v>
      </c>
      <c r="H34" s="16" t="s">
        <v>25</v>
      </c>
      <c r="I34" s="15">
        <f>IF(ISBLANK(H34),0,VLOOKUP(H34,UNITGRADES,2,FALSE))</f>
        <v>90</v>
      </c>
      <c r="J34" s="16" t="s">
        <v>25</v>
      </c>
      <c r="K34" s="15">
        <f>IF(ISBLANK(J34),0,VLOOKUP(J34,UNITGRADES,2,FALSE))</f>
        <v>90</v>
      </c>
      <c r="L34" s="16" t="s">
        <v>23</v>
      </c>
      <c r="M34" s="15">
        <f>IF(ISBLANK(L34),0,VLOOKUP(L34,UNITGRADES,2,FALSE))</f>
        <v>70</v>
      </c>
      <c r="N34" s="16" t="s">
        <v>25</v>
      </c>
      <c r="O34" s="15">
        <f>IF(ISBLANK(N34),0,VLOOKUP(N34,UNITGRADES,2,FALSE))</f>
        <v>90</v>
      </c>
      <c r="P34" s="16" t="s">
        <v>23</v>
      </c>
      <c r="Q34" s="15">
        <f>IF(ISBLANK(P34),0,VLOOKUP(P34,UNITGRADES,2,FALSE))</f>
        <v>70</v>
      </c>
      <c r="R34" s="16" t="s">
        <v>23</v>
      </c>
      <c r="S34" s="15">
        <f>IF(ISBLANK(R34),0,VLOOKUP(R34,UNITGRADES,2,FALSE))</f>
        <v>70</v>
      </c>
      <c r="T34" s="16" t="s">
        <v>23</v>
      </c>
      <c r="U34" s="15">
        <f>IF(ISBLANK(T34),0,VLOOKUP(T34,UNITGRADES,2,FALSE))</f>
        <v>70</v>
      </c>
      <c r="V34" s="16" t="s">
        <v>24</v>
      </c>
      <c r="W34" s="15">
        <f>IF(ISBLANK(H34),0,VLOOKUP(H34,UNITGRADES,2,FALSE))</f>
        <v>90</v>
      </c>
      <c r="X34" s="16" t="s">
        <v>25</v>
      </c>
      <c r="Y34" s="15">
        <f>IF(ISBLANK(X34),0,VLOOKUP(X34,UNITGRADES,2,FALSE))</f>
        <v>90</v>
      </c>
      <c r="Z34" s="15">
        <f t="shared" si="0"/>
        <v>730</v>
      </c>
      <c r="AA34" s="15" t="str">
        <f>VLOOKUP(Z34*2,FINALGRADES,3,TRUE)</f>
        <v>DDM</v>
      </c>
      <c r="AB34" s="16" t="s">
        <v>25</v>
      </c>
      <c r="AC34" s="15">
        <f>IF(ISBLANK(AB34),0,VLOOKUP(AB34,UNITGRADES,2,FALSE))</f>
        <v>90</v>
      </c>
      <c r="AD34" s="16" t="s">
        <v>23</v>
      </c>
      <c r="AE34" s="15">
        <f>IF(ISBLANK(AD34),0,VLOOKUP(AD34,UNITGRADES,2,FALSE))</f>
        <v>70</v>
      </c>
      <c r="AF34" s="16" t="s">
        <v>25</v>
      </c>
      <c r="AG34" s="15">
        <f>IF(ISBLANK(AF34),0,VLOOKUP(AF34,UNITGRADES,2,FALSE))</f>
        <v>90</v>
      </c>
      <c r="AH34" s="16" t="s">
        <v>24</v>
      </c>
      <c r="AI34" s="15">
        <f>IF(ISBLANK(AH34),0,VLOOKUP(AH34,UNITGRADES,2,FALSE))</f>
        <v>80</v>
      </c>
      <c r="AJ34" s="16" t="s">
        <v>23</v>
      </c>
      <c r="AK34" s="15">
        <f>IF(ISBLANK(AJ34),0,VLOOKUP(AJ34,UNITGRADES,2,FALSE))</f>
        <v>70</v>
      </c>
      <c r="AL34" s="16" t="s">
        <v>24</v>
      </c>
      <c r="AM34" s="15">
        <f>IF(ISBLANK(AL34),0,VLOOKUP(AL34,UNITGRADES,2,FALSE))</f>
        <v>80</v>
      </c>
      <c r="AN34" s="16" t="s">
        <v>24</v>
      </c>
      <c r="AO34" s="15">
        <f>IF(ISBLANK(AN34),0,VLOOKUP(AN34,UNITGRADES,2,FALSE))</f>
        <v>80</v>
      </c>
      <c r="AP34" s="16" t="s">
        <v>25</v>
      </c>
      <c r="AQ34" s="15">
        <f>IF(ISBLANK(AP34),0,VLOOKUP(AP34,UNITGRADES,2,FALSE))</f>
        <v>90</v>
      </c>
      <c r="AR34" s="16" t="s">
        <v>25</v>
      </c>
      <c r="AS34" s="11">
        <f>IF(ISBLANK(AR34),0,VLOOKUP(AR34,UNITGRADES,2,FALSE))</f>
        <v>90</v>
      </c>
      <c r="AT34" s="13">
        <f t="shared" si="1"/>
        <v>6</v>
      </c>
      <c r="AU34" s="13">
        <f t="shared" si="2"/>
        <v>4</v>
      </c>
      <c r="AV34" s="13">
        <f t="shared" si="3"/>
        <v>8</v>
      </c>
      <c r="AW34" s="17">
        <f t="shared" si="4"/>
        <v>1380</v>
      </c>
      <c r="AX34" s="18" t="str">
        <f>VLOOKUP(AW34,FINALGRADES,3,TRUE)</f>
        <v>MMM</v>
      </c>
      <c r="AY34" s="10">
        <f>VLOOKUP(AW34,FINALGRADES,4,TRUE)</f>
        <v>240</v>
      </c>
      <c r="AZ34" s="11">
        <f>VLOOKUP(G34,TARGETPOINTS,2,FALSE)</f>
        <v>240</v>
      </c>
      <c r="BA34" s="11" t="str">
        <f t="shared" si="5"/>
        <v>Same</v>
      </c>
      <c r="BB34" s="10"/>
      <c r="BC34" s="11"/>
      <c r="BD34" s="11"/>
    </row>
    <row r="35" spans="1:56" ht="11.25" customHeight="1">
      <c r="A35" s="13">
        <v>4</v>
      </c>
      <c r="B35" s="13">
        <v>7399525</v>
      </c>
      <c r="C35" s="12" t="s">
        <v>92</v>
      </c>
      <c r="D35" s="12" t="s">
        <v>93</v>
      </c>
      <c r="E35" s="13" t="s">
        <v>21</v>
      </c>
      <c r="F35" s="14">
        <v>33587</v>
      </c>
      <c r="G35" s="13" t="s">
        <v>70</v>
      </c>
      <c r="H35" s="16" t="s">
        <v>23</v>
      </c>
      <c r="I35" s="15">
        <f>IF(ISBLANK(H35),0,VLOOKUP(H35,UNITGRADES,2,FALSE))</f>
        <v>70</v>
      </c>
      <c r="J35" s="16" t="s">
        <v>25</v>
      </c>
      <c r="K35" s="15">
        <f>IF(ISBLANK(J35),0,VLOOKUP(J35,UNITGRADES,2,FALSE))</f>
        <v>90</v>
      </c>
      <c r="L35" s="16" t="s">
        <v>23</v>
      </c>
      <c r="M35" s="15">
        <f>IF(ISBLANK(L35),0,VLOOKUP(L35,UNITGRADES,2,FALSE))</f>
        <v>70</v>
      </c>
      <c r="N35" s="16" t="s">
        <v>25</v>
      </c>
      <c r="O35" s="15">
        <f>IF(ISBLANK(N35),0,VLOOKUP(N35,UNITGRADES,2,FALSE))</f>
        <v>90</v>
      </c>
      <c r="P35" s="16" t="s">
        <v>24</v>
      </c>
      <c r="Q35" s="15">
        <f>IF(ISBLANK(P35),0,VLOOKUP(P35,UNITGRADES,2,FALSE))</f>
        <v>80</v>
      </c>
      <c r="R35" s="16" t="s">
        <v>24</v>
      </c>
      <c r="S35" s="15">
        <f>IF(ISBLANK(R35),0,VLOOKUP(R35,UNITGRADES,2,FALSE))</f>
        <v>80</v>
      </c>
      <c r="T35" s="16" t="s">
        <v>25</v>
      </c>
      <c r="U35" s="15">
        <f>IF(ISBLANK(T35),0,VLOOKUP(T35,UNITGRADES,2,FALSE))</f>
        <v>90</v>
      </c>
      <c r="V35" s="16" t="s">
        <v>23</v>
      </c>
      <c r="W35" s="15">
        <f>IF(ISBLANK(H35),0,VLOOKUP(H35,UNITGRADES,2,FALSE))</f>
        <v>70</v>
      </c>
      <c r="X35" s="16" t="s">
        <v>24</v>
      </c>
      <c r="Y35" s="15">
        <f>IF(ISBLANK(X35),0,VLOOKUP(X35,UNITGRADES,2,FALSE))</f>
        <v>80</v>
      </c>
      <c r="Z35" s="15">
        <f t="shared" si="0"/>
        <v>720</v>
      </c>
      <c r="AA35" s="15" t="str">
        <f>VLOOKUP(Z35*2,FINALGRADES,3,TRUE)</f>
        <v>DMM</v>
      </c>
      <c r="AB35" s="16" t="s">
        <v>24</v>
      </c>
      <c r="AC35" s="15">
        <f>IF(ISBLANK(AB35),0,VLOOKUP(AB35,UNITGRADES,2,FALSE))</f>
        <v>80</v>
      </c>
      <c r="AD35" s="16" t="s">
        <v>24</v>
      </c>
      <c r="AE35" s="15">
        <f>IF(ISBLANK(AD35),0,VLOOKUP(AD35,UNITGRADES,2,FALSE))</f>
        <v>80</v>
      </c>
      <c r="AF35" s="16" t="s">
        <v>25</v>
      </c>
      <c r="AG35" s="15">
        <f>IF(ISBLANK(AF35),0,VLOOKUP(AF35,UNITGRADES,2,FALSE))</f>
        <v>90</v>
      </c>
      <c r="AH35" s="16" t="s">
        <v>23</v>
      </c>
      <c r="AI35" s="15">
        <f>IF(ISBLANK(AH35),0,VLOOKUP(AH35,UNITGRADES,2,FALSE))</f>
        <v>70</v>
      </c>
      <c r="AJ35" s="16" t="s">
        <v>25</v>
      </c>
      <c r="AK35" s="15">
        <f>IF(ISBLANK(AJ35),0,VLOOKUP(AJ35,UNITGRADES,2,FALSE))</f>
        <v>90</v>
      </c>
      <c r="AL35" s="16" t="s">
        <v>25</v>
      </c>
      <c r="AM35" s="15">
        <f>IF(ISBLANK(AL35),0,VLOOKUP(AL35,UNITGRADES,2,FALSE))</f>
        <v>90</v>
      </c>
      <c r="AN35" s="16" t="s">
        <v>24</v>
      </c>
      <c r="AO35" s="15">
        <f>IF(ISBLANK(AN35),0,VLOOKUP(AN35,UNITGRADES,2,FALSE))</f>
        <v>80</v>
      </c>
      <c r="AP35" s="16" t="s">
        <v>24</v>
      </c>
      <c r="AQ35" s="15">
        <f>IF(ISBLANK(AP35),0,VLOOKUP(AP35,UNITGRADES,2,FALSE))</f>
        <v>80</v>
      </c>
      <c r="AR35" s="16" t="s">
        <v>25</v>
      </c>
      <c r="AS35" s="11">
        <f>IF(ISBLANK(AR35),0,VLOOKUP(AR35,UNITGRADES,2,FALSE))</f>
        <v>90</v>
      </c>
      <c r="AT35" s="13">
        <f t="shared" si="1"/>
        <v>4</v>
      </c>
      <c r="AU35" s="13">
        <f t="shared" si="2"/>
        <v>7</v>
      </c>
      <c r="AV35" s="13">
        <f t="shared" si="3"/>
        <v>7</v>
      </c>
      <c r="AW35" s="17">
        <f t="shared" si="4"/>
        <v>1380</v>
      </c>
      <c r="AX35" s="18" t="str">
        <f>VLOOKUP(AW35,FINALGRADES,3,TRUE)</f>
        <v>MMM</v>
      </c>
      <c r="AY35" s="10">
        <f>VLOOKUP(AW35,FINALGRADES,4,TRUE)</f>
        <v>240</v>
      </c>
      <c r="AZ35" s="11">
        <f>VLOOKUP(G35,TARGETPOINTS,2,FALSE)</f>
        <v>320</v>
      </c>
      <c r="BA35" s="11" t="str">
        <f t="shared" si="5"/>
        <v>Under</v>
      </c>
      <c r="BB35" s="10"/>
      <c r="BC35" s="11"/>
      <c r="BD35" s="11"/>
    </row>
    <row r="36" spans="1:56" ht="11.25" customHeight="1">
      <c r="A36" s="13">
        <v>2</v>
      </c>
      <c r="B36" s="13">
        <v>6045373</v>
      </c>
      <c r="C36" s="12" t="s">
        <v>94</v>
      </c>
      <c r="D36" s="12" t="s">
        <v>95</v>
      </c>
      <c r="E36" s="13" t="s">
        <v>21</v>
      </c>
      <c r="F36" s="14">
        <v>33075</v>
      </c>
      <c r="G36" s="13" t="s">
        <v>32</v>
      </c>
      <c r="H36" s="16" t="s">
        <v>25</v>
      </c>
      <c r="I36" s="15">
        <f>IF(ISBLANK(H36),0,VLOOKUP(H36,UNITGRADES,2,FALSE))</f>
        <v>90</v>
      </c>
      <c r="J36" s="16" t="s">
        <v>24</v>
      </c>
      <c r="K36" s="15">
        <f>IF(ISBLANK(J36),0,VLOOKUP(J36,UNITGRADES,2,FALSE))</f>
        <v>80</v>
      </c>
      <c r="L36" s="16" t="s">
        <v>24</v>
      </c>
      <c r="M36" s="15">
        <f>IF(ISBLANK(L36),0,VLOOKUP(L36,UNITGRADES,2,FALSE))</f>
        <v>80</v>
      </c>
      <c r="N36" s="16" t="s">
        <v>24</v>
      </c>
      <c r="O36" s="15">
        <f>IF(ISBLANK(N36),0,VLOOKUP(N36,UNITGRADES,2,FALSE))</f>
        <v>80</v>
      </c>
      <c r="P36" s="16" t="s">
        <v>25</v>
      </c>
      <c r="Q36" s="15">
        <f>IF(ISBLANK(P36),0,VLOOKUP(P36,UNITGRADES,2,FALSE))</f>
        <v>90</v>
      </c>
      <c r="R36" s="16" t="s">
        <v>24</v>
      </c>
      <c r="S36" s="15">
        <f>IF(ISBLANK(R36),0,VLOOKUP(R36,UNITGRADES,2,FALSE))</f>
        <v>80</v>
      </c>
      <c r="T36" s="16" t="s">
        <v>24</v>
      </c>
      <c r="U36" s="15">
        <f>IF(ISBLANK(T36),0,VLOOKUP(T36,UNITGRADES,2,FALSE))</f>
        <v>80</v>
      </c>
      <c r="V36" s="16" t="s">
        <v>25</v>
      </c>
      <c r="W36" s="15">
        <f>IF(ISBLANK(H36),0,VLOOKUP(H36,UNITGRADES,2,FALSE))</f>
        <v>90</v>
      </c>
      <c r="X36" s="16" t="s">
        <v>23</v>
      </c>
      <c r="Y36" s="15">
        <f>IF(ISBLANK(X36),0,VLOOKUP(X36,UNITGRADES,2,FALSE))</f>
        <v>70</v>
      </c>
      <c r="Z36" s="15">
        <f t="shared" si="0"/>
        <v>740</v>
      </c>
      <c r="AA36" s="15" t="str">
        <f>VLOOKUP(Z36*2,FINALGRADES,3,TRUE)</f>
        <v>DDM</v>
      </c>
      <c r="AB36" s="16" t="s">
        <v>23</v>
      </c>
      <c r="AC36" s="15">
        <f>IF(ISBLANK(AB36),0,VLOOKUP(AB36,UNITGRADES,2,FALSE))</f>
        <v>70</v>
      </c>
      <c r="AD36" s="16" t="s">
        <v>24</v>
      </c>
      <c r="AE36" s="15">
        <f>IF(ISBLANK(AD36),0,VLOOKUP(AD36,UNITGRADES,2,FALSE))</f>
        <v>80</v>
      </c>
      <c r="AF36" s="16" t="s">
        <v>24</v>
      </c>
      <c r="AG36" s="15">
        <f>IF(ISBLANK(AF36),0,VLOOKUP(AF36,UNITGRADES,2,FALSE))</f>
        <v>80</v>
      </c>
      <c r="AH36" s="16" t="s">
        <v>25</v>
      </c>
      <c r="AI36" s="15">
        <f>IF(ISBLANK(AH36),0,VLOOKUP(AH36,UNITGRADES,2,FALSE))</f>
        <v>90</v>
      </c>
      <c r="AJ36" s="16" t="s">
        <v>24</v>
      </c>
      <c r="AK36" s="15">
        <f>IF(ISBLANK(AJ36),0,VLOOKUP(AJ36,UNITGRADES,2,FALSE))</f>
        <v>80</v>
      </c>
      <c r="AL36" s="16" t="s">
        <v>24</v>
      </c>
      <c r="AM36" s="15">
        <f>IF(ISBLANK(AL36),0,VLOOKUP(AL36,UNITGRADES,2,FALSE))</f>
        <v>80</v>
      </c>
      <c r="AN36" s="16" t="s">
        <v>24</v>
      </c>
      <c r="AO36" s="15">
        <f>IF(ISBLANK(AN36),0,VLOOKUP(AN36,UNITGRADES,2,FALSE))</f>
        <v>80</v>
      </c>
      <c r="AP36" s="16" t="s">
        <v>25</v>
      </c>
      <c r="AQ36" s="15">
        <f>IF(ISBLANK(AP36),0,VLOOKUP(AP36,UNITGRADES,2,FALSE))</f>
        <v>90</v>
      </c>
      <c r="AR36" s="16" t="s">
        <v>25</v>
      </c>
      <c r="AS36" s="11">
        <f>IF(ISBLANK(AR36),0,VLOOKUP(AR36,UNITGRADES,2,FALSE))</f>
        <v>90</v>
      </c>
      <c r="AT36" s="13">
        <f t="shared" si="1"/>
        <v>2</v>
      </c>
      <c r="AU36" s="13">
        <f t="shared" si="2"/>
        <v>10</v>
      </c>
      <c r="AV36" s="13">
        <f t="shared" si="3"/>
        <v>6</v>
      </c>
      <c r="AW36" s="17">
        <f t="shared" si="4"/>
        <v>1390</v>
      </c>
      <c r="AX36" s="18" t="str">
        <f>VLOOKUP(AW36,FINALGRADES,3,TRUE)</f>
        <v>MMM</v>
      </c>
      <c r="AY36" s="10">
        <f>VLOOKUP(AW36,FINALGRADES,4,TRUE)</f>
        <v>240</v>
      </c>
      <c r="AZ36" s="11">
        <f>VLOOKUP(G36,TARGETPOINTS,2,FALSE)</f>
        <v>240</v>
      </c>
      <c r="BA36" s="11" t="str">
        <f t="shared" si="5"/>
        <v>Same</v>
      </c>
      <c r="BB36" s="10"/>
      <c r="BC36" s="11"/>
      <c r="BD36" s="11"/>
    </row>
    <row r="37" spans="1:56" ht="11.25" customHeight="1">
      <c r="A37" s="13">
        <v>2</v>
      </c>
      <c r="B37" s="13">
        <v>8750931</v>
      </c>
      <c r="C37" s="12" t="s">
        <v>96</v>
      </c>
      <c r="D37" s="12" t="s">
        <v>97</v>
      </c>
      <c r="E37" s="13" t="s">
        <v>21</v>
      </c>
      <c r="F37" s="14">
        <v>34165</v>
      </c>
      <c r="G37" s="13" t="s">
        <v>70</v>
      </c>
      <c r="H37" s="16" t="s">
        <v>23</v>
      </c>
      <c r="I37" s="15">
        <f>IF(ISBLANK(H37),0,VLOOKUP(H37,UNITGRADES,2,FALSE))</f>
        <v>70</v>
      </c>
      <c r="J37" s="16" t="s">
        <v>25</v>
      </c>
      <c r="K37" s="15">
        <f>IF(ISBLANK(J37),0,VLOOKUP(J37,UNITGRADES,2,FALSE))</f>
        <v>90</v>
      </c>
      <c r="L37" s="16" t="s">
        <v>25</v>
      </c>
      <c r="M37" s="15">
        <f>IF(ISBLANK(L37),0,VLOOKUP(L37,UNITGRADES,2,FALSE))</f>
        <v>90</v>
      </c>
      <c r="N37" s="16" t="s">
        <v>24</v>
      </c>
      <c r="O37" s="15">
        <f>IF(ISBLANK(N37),0,VLOOKUP(N37,UNITGRADES,2,FALSE))</f>
        <v>80</v>
      </c>
      <c r="P37" s="16" t="s">
        <v>25</v>
      </c>
      <c r="Q37" s="15">
        <f>IF(ISBLANK(P37),0,VLOOKUP(P37,UNITGRADES,2,FALSE))</f>
        <v>90</v>
      </c>
      <c r="R37" s="16" t="s">
        <v>25</v>
      </c>
      <c r="S37" s="15">
        <f>IF(ISBLANK(R37),0,VLOOKUP(R37,UNITGRADES,2,FALSE))</f>
        <v>90</v>
      </c>
      <c r="T37" s="16" t="s">
        <v>25</v>
      </c>
      <c r="U37" s="15">
        <f>IF(ISBLANK(T37),0,VLOOKUP(T37,UNITGRADES,2,FALSE))</f>
        <v>90</v>
      </c>
      <c r="V37" s="16" t="s">
        <v>23</v>
      </c>
      <c r="W37" s="15">
        <f>IF(ISBLANK(H37),0,VLOOKUP(H37,UNITGRADES,2,FALSE))</f>
        <v>70</v>
      </c>
      <c r="X37" s="16" t="s">
        <v>25</v>
      </c>
      <c r="Y37" s="15">
        <f>IF(ISBLANK(X37),0,VLOOKUP(X37,UNITGRADES,2,FALSE))</f>
        <v>90</v>
      </c>
      <c r="Z37" s="15">
        <f t="shared" si="0"/>
        <v>760</v>
      </c>
      <c r="AA37" s="15" t="str">
        <f>VLOOKUP(Z37*2,FINALGRADES,3,TRUE)</f>
        <v>DDD</v>
      </c>
      <c r="AB37" s="16" t="s">
        <v>23</v>
      </c>
      <c r="AC37" s="15">
        <f>IF(ISBLANK(AB37),0,VLOOKUP(AB37,UNITGRADES,2,FALSE))</f>
        <v>70</v>
      </c>
      <c r="AD37" s="16" t="s">
        <v>24</v>
      </c>
      <c r="AE37" s="15">
        <f>IF(ISBLANK(AD37),0,VLOOKUP(AD37,UNITGRADES,2,FALSE))</f>
        <v>80</v>
      </c>
      <c r="AF37" s="16" t="s">
        <v>24</v>
      </c>
      <c r="AG37" s="15">
        <f>IF(ISBLANK(AF37),0,VLOOKUP(AF37,UNITGRADES,2,FALSE))</f>
        <v>80</v>
      </c>
      <c r="AH37" s="16" t="s">
        <v>23</v>
      </c>
      <c r="AI37" s="15">
        <f>IF(ISBLANK(AH37),0,VLOOKUP(AH37,UNITGRADES,2,FALSE))</f>
        <v>70</v>
      </c>
      <c r="AJ37" s="16" t="s">
        <v>25</v>
      </c>
      <c r="AK37" s="15">
        <f>IF(ISBLANK(AJ37),0,VLOOKUP(AJ37,UNITGRADES,2,FALSE))</f>
        <v>90</v>
      </c>
      <c r="AL37" s="16" t="s">
        <v>24</v>
      </c>
      <c r="AM37" s="15">
        <f>IF(ISBLANK(AL37),0,VLOOKUP(AL37,UNITGRADES,2,FALSE))</f>
        <v>80</v>
      </c>
      <c r="AN37" s="16" t="s">
        <v>25</v>
      </c>
      <c r="AO37" s="15">
        <f>IF(ISBLANK(AN37),0,VLOOKUP(AN37,UNITGRADES,2,FALSE))</f>
        <v>90</v>
      </c>
      <c r="AP37" s="16" t="s">
        <v>23</v>
      </c>
      <c r="AQ37" s="15">
        <f>IF(ISBLANK(AP37),0,VLOOKUP(AP37,UNITGRADES,2,FALSE))</f>
        <v>70</v>
      </c>
      <c r="AR37" s="16" t="s">
        <v>24</v>
      </c>
      <c r="AS37" s="11">
        <f>IF(ISBLANK(AR37),0,VLOOKUP(AR37,UNITGRADES,2,FALSE))</f>
        <v>80</v>
      </c>
      <c r="AT37" s="13">
        <f t="shared" si="1"/>
        <v>5</v>
      </c>
      <c r="AU37" s="13">
        <f t="shared" si="2"/>
        <v>5</v>
      </c>
      <c r="AV37" s="13">
        <f t="shared" si="3"/>
        <v>8</v>
      </c>
      <c r="AW37" s="17">
        <f t="shared" si="4"/>
        <v>1390</v>
      </c>
      <c r="AX37" s="18" t="str">
        <f>VLOOKUP(AW37,FINALGRADES,3,TRUE)</f>
        <v>MMM</v>
      </c>
      <c r="AY37" s="10">
        <f>VLOOKUP(AW37,FINALGRADES,4,TRUE)</f>
        <v>240</v>
      </c>
      <c r="AZ37" s="11">
        <f>VLOOKUP(G37,TARGETPOINTS,2,FALSE)</f>
        <v>320</v>
      </c>
      <c r="BA37" s="11" t="str">
        <f t="shared" si="5"/>
        <v>Under</v>
      </c>
      <c r="BB37" s="10"/>
      <c r="BC37" s="11"/>
      <c r="BD37" s="11"/>
    </row>
    <row r="38" spans="1:56" ht="11.25" customHeight="1">
      <c r="A38" s="13">
        <v>3</v>
      </c>
      <c r="B38" s="13">
        <v>9277422</v>
      </c>
      <c r="C38" s="12" t="s">
        <v>98</v>
      </c>
      <c r="D38" s="12" t="s">
        <v>99</v>
      </c>
      <c r="E38" s="13" t="s">
        <v>21</v>
      </c>
      <c r="F38" s="14">
        <v>32893</v>
      </c>
      <c r="G38" s="13" t="s">
        <v>70</v>
      </c>
      <c r="H38" s="16" t="s">
        <v>24</v>
      </c>
      <c r="I38" s="15">
        <f>IF(ISBLANK(H38),0,VLOOKUP(H38,UNITGRADES,2,FALSE))</f>
        <v>80</v>
      </c>
      <c r="J38" s="16" t="s">
        <v>23</v>
      </c>
      <c r="K38" s="15">
        <f>IF(ISBLANK(J38),0,VLOOKUP(J38,UNITGRADES,2,FALSE))</f>
        <v>70</v>
      </c>
      <c r="L38" s="16" t="s">
        <v>25</v>
      </c>
      <c r="M38" s="15">
        <f>IF(ISBLANK(L38),0,VLOOKUP(L38,UNITGRADES,2,FALSE))</f>
        <v>90</v>
      </c>
      <c r="N38" s="16" t="s">
        <v>25</v>
      </c>
      <c r="O38" s="15">
        <f>IF(ISBLANK(N38),0,VLOOKUP(N38,UNITGRADES,2,FALSE))</f>
        <v>90</v>
      </c>
      <c r="P38" s="16" t="s">
        <v>25</v>
      </c>
      <c r="Q38" s="15">
        <f>IF(ISBLANK(P38),0,VLOOKUP(P38,UNITGRADES,2,FALSE))</f>
        <v>90</v>
      </c>
      <c r="R38" s="16" t="s">
        <v>23</v>
      </c>
      <c r="S38" s="15">
        <f>IF(ISBLANK(R38),0,VLOOKUP(R38,UNITGRADES,2,FALSE))</f>
        <v>70</v>
      </c>
      <c r="T38" s="16" t="s">
        <v>25</v>
      </c>
      <c r="U38" s="15">
        <f>IF(ISBLANK(T38),0,VLOOKUP(T38,UNITGRADES,2,FALSE))</f>
        <v>90</v>
      </c>
      <c r="V38" s="16" t="s">
        <v>23</v>
      </c>
      <c r="W38" s="15">
        <f>IF(ISBLANK(H38),0,VLOOKUP(H38,UNITGRADES,2,FALSE))</f>
        <v>80</v>
      </c>
      <c r="X38" s="16" t="s">
        <v>23</v>
      </c>
      <c r="Y38" s="15">
        <f>IF(ISBLANK(X38),0,VLOOKUP(X38,UNITGRADES,2,FALSE))</f>
        <v>70</v>
      </c>
      <c r="Z38" s="15">
        <f t="shared" si="0"/>
        <v>730</v>
      </c>
      <c r="AA38" s="15" t="str">
        <f>VLOOKUP(Z38*2,FINALGRADES,3,TRUE)</f>
        <v>DDM</v>
      </c>
      <c r="AB38" s="16" t="s">
        <v>24</v>
      </c>
      <c r="AC38" s="15">
        <f>IF(ISBLANK(AB38),0,VLOOKUP(AB38,UNITGRADES,2,FALSE))</f>
        <v>80</v>
      </c>
      <c r="AD38" s="16" t="s">
        <v>25</v>
      </c>
      <c r="AE38" s="15">
        <f>IF(ISBLANK(AD38),0,VLOOKUP(AD38,UNITGRADES,2,FALSE))</f>
        <v>90</v>
      </c>
      <c r="AF38" s="16" t="s">
        <v>24</v>
      </c>
      <c r="AG38" s="15">
        <f>IF(ISBLANK(AF38),0,VLOOKUP(AF38,UNITGRADES,2,FALSE))</f>
        <v>80</v>
      </c>
      <c r="AH38" s="16" t="s">
        <v>23</v>
      </c>
      <c r="AI38" s="15">
        <f>IF(ISBLANK(AH38),0,VLOOKUP(AH38,UNITGRADES,2,FALSE))</f>
        <v>70</v>
      </c>
      <c r="AJ38" s="16" t="s">
        <v>24</v>
      </c>
      <c r="AK38" s="15">
        <f>IF(ISBLANK(AJ38),0,VLOOKUP(AJ38,UNITGRADES,2,FALSE))</f>
        <v>80</v>
      </c>
      <c r="AL38" s="16" t="s">
        <v>25</v>
      </c>
      <c r="AM38" s="15">
        <f>IF(ISBLANK(AL38),0,VLOOKUP(AL38,UNITGRADES,2,FALSE))</f>
        <v>90</v>
      </c>
      <c r="AN38" s="16" t="s">
        <v>25</v>
      </c>
      <c r="AO38" s="15">
        <f>IF(ISBLANK(AN38),0,VLOOKUP(AN38,UNITGRADES,2,FALSE))</f>
        <v>90</v>
      </c>
      <c r="AP38" s="16" t="s">
        <v>24</v>
      </c>
      <c r="AQ38" s="15">
        <f>IF(ISBLANK(AP38),0,VLOOKUP(AP38,UNITGRADES,2,FALSE))</f>
        <v>80</v>
      </c>
      <c r="AR38" s="16" t="s">
        <v>24</v>
      </c>
      <c r="AS38" s="11">
        <f>IF(ISBLANK(AR38),0,VLOOKUP(AR38,UNITGRADES,2,FALSE))</f>
        <v>80</v>
      </c>
      <c r="AT38" s="13">
        <f t="shared" si="1"/>
        <v>5</v>
      </c>
      <c r="AU38" s="13">
        <f t="shared" si="2"/>
        <v>6</v>
      </c>
      <c r="AV38" s="13">
        <f t="shared" si="3"/>
        <v>7</v>
      </c>
      <c r="AW38" s="17">
        <f t="shared" si="4"/>
        <v>1390</v>
      </c>
      <c r="AX38" s="18" t="str">
        <f>VLOOKUP(AW38,FINALGRADES,3,TRUE)</f>
        <v>MMM</v>
      </c>
      <c r="AY38" s="10">
        <f>VLOOKUP(AW38,FINALGRADES,4,TRUE)</f>
        <v>240</v>
      </c>
      <c r="AZ38" s="11">
        <f>VLOOKUP(G38,TARGETPOINTS,2,FALSE)</f>
        <v>320</v>
      </c>
      <c r="BA38" s="11" t="str">
        <f t="shared" si="5"/>
        <v>Under</v>
      </c>
      <c r="BB38" s="10"/>
      <c r="BC38" s="11"/>
      <c r="BD38" s="11"/>
    </row>
    <row r="39" spans="1:56" ht="11.25" customHeight="1">
      <c r="A39" s="13">
        <v>3</v>
      </c>
      <c r="B39" s="13">
        <v>7399578</v>
      </c>
      <c r="C39" s="12" t="s">
        <v>100</v>
      </c>
      <c r="D39" s="12" t="s">
        <v>101</v>
      </c>
      <c r="E39" s="13" t="s">
        <v>21</v>
      </c>
      <c r="F39" s="14">
        <v>32991</v>
      </c>
      <c r="G39" s="13" t="s">
        <v>22</v>
      </c>
      <c r="H39" s="16" t="s">
        <v>24</v>
      </c>
      <c r="I39" s="15">
        <f>IF(ISBLANK(H39),0,VLOOKUP(H39,UNITGRADES,2,FALSE))</f>
        <v>80</v>
      </c>
      <c r="J39" s="16" t="s">
        <v>24</v>
      </c>
      <c r="K39" s="15">
        <f>IF(ISBLANK(J39),0,VLOOKUP(J39,UNITGRADES,2,FALSE))</f>
        <v>80</v>
      </c>
      <c r="L39" s="16" t="s">
        <v>25</v>
      </c>
      <c r="M39" s="15">
        <f>IF(ISBLANK(L39),0,VLOOKUP(L39,UNITGRADES,2,FALSE))</f>
        <v>90</v>
      </c>
      <c r="N39" s="16" t="s">
        <v>23</v>
      </c>
      <c r="O39" s="15">
        <f>IF(ISBLANK(N39),0,VLOOKUP(N39,UNITGRADES,2,FALSE))</f>
        <v>70</v>
      </c>
      <c r="P39" s="16" t="s">
        <v>25</v>
      </c>
      <c r="Q39" s="15">
        <f>IF(ISBLANK(P39),0,VLOOKUP(P39,UNITGRADES,2,FALSE))</f>
        <v>90</v>
      </c>
      <c r="R39" s="16" t="s">
        <v>25</v>
      </c>
      <c r="S39" s="15">
        <f>IF(ISBLANK(R39),0,VLOOKUP(R39,UNITGRADES,2,FALSE))</f>
        <v>90</v>
      </c>
      <c r="T39" s="16" t="s">
        <v>24</v>
      </c>
      <c r="U39" s="15">
        <f>IF(ISBLANK(T39),0,VLOOKUP(T39,UNITGRADES,2,FALSE))</f>
        <v>80</v>
      </c>
      <c r="V39" s="16" t="s">
        <v>24</v>
      </c>
      <c r="W39" s="15">
        <f>IF(ISBLANK(H39),0,VLOOKUP(H39,UNITGRADES,2,FALSE))</f>
        <v>80</v>
      </c>
      <c r="X39" s="16" t="s">
        <v>23</v>
      </c>
      <c r="Y39" s="15">
        <f>IF(ISBLANK(X39),0,VLOOKUP(X39,UNITGRADES,2,FALSE))</f>
        <v>70</v>
      </c>
      <c r="Z39" s="15">
        <f t="shared" si="0"/>
        <v>730</v>
      </c>
      <c r="AA39" s="15" t="str">
        <f>VLOOKUP(Z39*2,FINALGRADES,3,TRUE)</f>
        <v>DDM</v>
      </c>
      <c r="AB39" s="16" t="s">
        <v>23</v>
      </c>
      <c r="AC39" s="15">
        <f>IF(ISBLANK(AB39),0,VLOOKUP(AB39,UNITGRADES,2,FALSE))</f>
        <v>70</v>
      </c>
      <c r="AD39" s="16" t="s">
        <v>24</v>
      </c>
      <c r="AE39" s="15">
        <f>IF(ISBLANK(AD39),0,VLOOKUP(AD39,UNITGRADES,2,FALSE))</f>
        <v>80</v>
      </c>
      <c r="AF39" s="16" t="s">
        <v>24</v>
      </c>
      <c r="AG39" s="15">
        <f>IF(ISBLANK(AF39),0,VLOOKUP(AF39,UNITGRADES,2,FALSE))</f>
        <v>80</v>
      </c>
      <c r="AH39" s="16" t="s">
        <v>25</v>
      </c>
      <c r="AI39" s="15">
        <f>IF(ISBLANK(AH39),0,VLOOKUP(AH39,UNITGRADES,2,FALSE))</f>
        <v>90</v>
      </c>
      <c r="AJ39" s="16" t="s">
        <v>24</v>
      </c>
      <c r="AK39" s="15">
        <f>IF(ISBLANK(AJ39),0,VLOOKUP(AJ39,UNITGRADES,2,FALSE))</f>
        <v>80</v>
      </c>
      <c r="AL39" s="16" t="s">
        <v>25</v>
      </c>
      <c r="AM39" s="15">
        <f>IF(ISBLANK(AL39),0,VLOOKUP(AL39,UNITGRADES,2,FALSE))</f>
        <v>90</v>
      </c>
      <c r="AN39" s="16" t="s">
        <v>24</v>
      </c>
      <c r="AO39" s="15">
        <f>IF(ISBLANK(AN39),0,VLOOKUP(AN39,UNITGRADES,2,FALSE))</f>
        <v>80</v>
      </c>
      <c r="AP39" s="16" t="s">
        <v>25</v>
      </c>
      <c r="AQ39" s="15">
        <f>IF(ISBLANK(AP39),0,VLOOKUP(AP39,UNITGRADES,2,FALSE))</f>
        <v>90</v>
      </c>
      <c r="AR39" s="16" t="s">
        <v>24</v>
      </c>
      <c r="AS39" s="11">
        <f>IF(ISBLANK(AR39),0,VLOOKUP(AR39,UNITGRADES,2,FALSE))</f>
        <v>80</v>
      </c>
      <c r="AT39" s="13">
        <f t="shared" si="1"/>
        <v>3</v>
      </c>
      <c r="AU39" s="13">
        <f t="shared" si="2"/>
        <v>9</v>
      </c>
      <c r="AV39" s="13">
        <f t="shared" si="3"/>
        <v>6</v>
      </c>
      <c r="AW39" s="17">
        <f t="shared" si="4"/>
        <v>1390</v>
      </c>
      <c r="AX39" s="18" t="str">
        <f>VLOOKUP(AW39,FINALGRADES,3,TRUE)</f>
        <v>MMM</v>
      </c>
      <c r="AY39" s="10">
        <f>VLOOKUP(AW39,FINALGRADES,4,TRUE)</f>
        <v>240</v>
      </c>
      <c r="AZ39" s="11">
        <f>VLOOKUP(G39,TARGETPOINTS,2,FALSE)</f>
        <v>160</v>
      </c>
      <c r="BA39" s="11" t="str">
        <f t="shared" si="5"/>
        <v>Over</v>
      </c>
      <c r="BB39" s="10"/>
      <c r="BC39" s="11"/>
      <c r="BD39" s="11"/>
    </row>
    <row r="40" spans="1:56" ht="11.25" customHeight="1">
      <c r="A40" s="13">
        <v>3</v>
      </c>
      <c r="B40" s="13">
        <v>9664633</v>
      </c>
      <c r="C40" s="12" t="s">
        <v>102</v>
      </c>
      <c r="D40" s="12" t="s">
        <v>103</v>
      </c>
      <c r="E40" s="13" t="s">
        <v>21</v>
      </c>
      <c r="F40" s="14">
        <v>33134</v>
      </c>
      <c r="G40" s="13" t="s">
        <v>50</v>
      </c>
      <c r="H40" s="16" t="s">
        <v>23</v>
      </c>
      <c r="I40" s="15">
        <f>IF(ISBLANK(H40),0,VLOOKUP(H40,UNITGRADES,2,FALSE))</f>
        <v>70</v>
      </c>
      <c r="J40" s="16" t="s">
        <v>24</v>
      </c>
      <c r="K40" s="15">
        <f>IF(ISBLANK(J40),0,VLOOKUP(J40,UNITGRADES,2,FALSE))</f>
        <v>80</v>
      </c>
      <c r="L40" s="16" t="s">
        <v>23</v>
      </c>
      <c r="M40" s="15">
        <f>IF(ISBLANK(L40),0,VLOOKUP(L40,UNITGRADES,2,FALSE))</f>
        <v>70</v>
      </c>
      <c r="N40" s="16" t="s">
        <v>25</v>
      </c>
      <c r="O40" s="15">
        <f>IF(ISBLANK(N40),0,VLOOKUP(N40,UNITGRADES,2,FALSE))</f>
        <v>90</v>
      </c>
      <c r="P40" s="16" t="s">
        <v>24</v>
      </c>
      <c r="Q40" s="15">
        <f>IF(ISBLANK(P40),0,VLOOKUP(P40,UNITGRADES,2,FALSE))</f>
        <v>80</v>
      </c>
      <c r="R40" s="16" t="s">
        <v>25</v>
      </c>
      <c r="S40" s="15">
        <f>IF(ISBLANK(R40),0,VLOOKUP(R40,UNITGRADES,2,FALSE))</f>
        <v>90</v>
      </c>
      <c r="T40" s="16" t="s">
        <v>25</v>
      </c>
      <c r="U40" s="15">
        <f>IF(ISBLANK(T40),0,VLOOKUP(T40,UNITGRADES,2,FALSE))</f>
        <v>90</v>
      </c>
      <c r="V40" s="16" t="s">
        <v>24</v>
      </c>
      <c r="W40" s="15">
        <f>IF(ISBLANK(H40),0,VLOOKUP(H40,UNITGRADES,2,FALSE))</f>
        <v>70</v>
      </c>
      <c r="X40" s="16" t="s">
        <v>25</v>
      </c>
      <c r="Y40" s="15">
        <f>IF(ISBLANK(X40),0,VLOOKUP(X40,UNITGRADES,2,FALSE))</f>
        <v>90</v>
      </c>
      <c r="Z40" s="15">
        <f t="shared" si="0"/>
        <v>730</v>
      </c>
      <c r="AA40" s="15" t="str">
        <f>VLOOKUP(Z40*2,FINALGRADES,3,TRUE)</f>
        <v>DDM</v>
      </c>
      <c r="AB40" s="16" t="s">
        <v>23</v>
      </c>
      <c r="AC40" s="15">
        <f>IF(ISBLANK(AB40),0,VLOOKUP(AB40,UNITGRADES,2,FALSE))</f>
        <v>70</v>
      </c>
      <c r="AD40" s="16" t="s">
        <v>25</v>
      </c>
      <c r="AE40" s="15">
        <f>IF(ISBLANK(AD40),0,VLOOKUP(AD40,UNITGRADES,2,FALSE))</f>
        <v>90</v>
      </c>
      <c r="AF40" s="16" t="s">
        <v>23</v>
      </c>
      <c r="AG40" s="15">
        <f>IF(ISBLANK(AF40),0,VLOOKUP(AF40,UNITGRADES,2,FALSE))</f>
        <v>70</v>
      </c>
      <c r="AH40" s="16" t="s">
        <v>25</v>
      </c>
      <c r="AI40" s="15">
        <f>IF(ISBLANK(AH40),0,VLOOKUP(AH40,UNITGRADES,2,FALSE))</f>
        <v>90</v>
      </c>
      <c r="AJ40" s="16" t="s">
        <v>25</v>
      </c>
      <c r="AK40" s="15">
        <f>IF(ISBLANK(AJ40),0,VLOOKUP(AJ40,UNITGRADES,2,FALSE))</f>
        <v>90</v>
      </c>
      <c r="AL40" s="16" t="s">
        <v>23</v>
      </c>
      <c r="AM40" s="15">
        <f>IF(ISBLANK(AL40),0,VLOOKUP(AL40,UNITGRADES,2,FALSE))</f>
        <v>70</v>
      </c>
      <c r="AN40" s="16" t="s">
        <v>25</v>
      </c>
      <c r="AO40" s="15">
        <f>IF(ISBLANK(AN40),0,VLOOKUP(AN40,UNITGRADES,2,FALSE))</f>
        <v>90</v>
      </c>
      <c r="AP40" s="16" t="s">
        <v>25</v>
      </c>
      <c r="AQ40" s="15">
        <f>IF(ISBLANK(AP40),0,VLOOKUP(AP40,UNITGRADES,2,FALSE))</f>
        <v>90</v>
      </c>
      <c r="AR40" s="16" t="s">
        <v>24</v>
      </c>
      <c r="AS40" s="11">
        <f>IF(ISBLANK(AR40),0,VLOOKUP(AR40,UNITGRADES,2,FALSE))</f>
        <v>80</v>
      </c>
      <c r="AT40" s="13">
        <f t="shared" si="1"/>
        <v>5</v>
      </c>
      <c r="AU40" s="13">
        <f t="shared" si="2"/>
        <v>4</v>
      </c>
      <c r="AV40" s="13">
        <f t="shared" si="3"/>
        <v>9</v>
      </c>
      <c r="AW40" s="17">
        <f t="shared" si="4"/>
        <v>1390</v>
      </c>
      <c r="AX40" s="18" t="str">
        <f>VLOOKUP(AW40,FINALGRADES,3,TRUE)</f>
        <v>MMM</v>
      </c>
      <c r="AY40" s="10">
        <f>VLOOKUP(AW40,FINALGRADES,4,TRUE)</f>
        <v>240</v>
      </c>
      <c r="AZ40" s="11">
        <f>VLOOKUP(G40,TARGETPOINTS,2,FALSE)</f>
        <v>200</v>
      </c>
      <c r="BA40" s="11" t="str">
        <f t="shared" si="5"/>
        <v>Over</v>
      </c>
      <c r="BB40" s="10"/>
      <c r="BC40" s="11"/>
      <c r="BD40" s="11"/>
    </row>
    <row r="41" spans="1:56" ht="11.25" customHeight="1">
      <c r="A41" s="13">
        <v>2</v>
      </c>
      <c r="B41" s="13">
        <v>7926507</v>
      </c>
      <c r="C41" s="12" t="s">
        <v>104</v>
      </c>
      <c r="D41" s="12" t="s">
        <v>105</v>
      </c>
      <c r="E41" s="13" t="s">
        <v>21</v>
      </c>
      <c r="F41" s="14">
        <v>34059</v>
      </c>
      <c r="G41" s="13" t="s">
        <v>29</v>
      </c>
      <c r="H41" s="16" t="s">
        <v>24</v>
      </c>
      <c r="I41" s="15">
        <f>IF(ISBLANK(H41),0,VLOOKUP(H41,UNITGRADES,2,FALSE))</f>
        <v>80</v>
      </c>
      <c r="J41" s="16" t="s">
        <v>25</v>
      </c>
      <c r="K41" s="15">
        <f>IF(ISBLANK(J41),0,VLOOKUP(J41,UNITGRADES,2,FALSE))</f>
        <v>90</v>
      </c>
      <c r="L41" s="16" t="s">
        <v>23</v>
      </c>
      <c r="M41" s="15">
        <f>IF(ISBLANK(L41),0,VLOOKUP(L41,UNITGRADES,2,FALSE))</f>
        <v>70</v>
      </c>
      <c r="N41" s="16" t="s">
        <v>25</v>
      </c>
      <c r="O41" s="15">
        <f>IF(ISBLANK(N41),0,VLOOKUP(N41,UNITGRADES,2,FALSE))</f>
        <v>90</v>
      </c>
      <c r="P41" s="16" t="s">
        <v>25</v>
      </c>
      <c r="Q41" s="15">
        <f>IF(ISBLANK(P41),0,VLOOKUP(P41,UNITGRADES,2,FALSE))</f>
        <v>90</v>
      </c>
      <c r="R41" s="16" t="s">
        <v>23</v>
      </c>
      <c r="S41" s="15">
        <f>IF(ISBLANK(R41),0,VLOOKUP(R41,UNITGRADES,2,FALSE))</f>
        <v>70</v>
      </c>
      <c r="T41" s="16" t="s">
        <v>23</v>
      </c>
      <c r="U41" s="15">
        <f>IF(ISBLANK(T41),0,VLOOKUP(T41,UNITGRADES,2,FALSE))</f>
        <v>70</v>
      </c>
      <c r="V41" s="16" t="s">
        <v>25</v>
      </c>
      <c r="W41" s="15">
        <f>IF(ISBLANK(H41),0,VLOOKUP(H41,UNITGRADES,2,FALSE))</f>
        <v>80</v>
      </c>
      <c r="X41" s="16" t="s">
        <v>25</v>
      </c>
      <c r="Y41" s="15">
        <f>IF(ISBLANK(X41),0,VLOOKUP(X41,UNITGRADES,2,FALSE))</f>
        <v>90</v>
      </c>
      <c r="Z41" s="15">
        <f t="shared" si="0"/>
        <v>730</v>
      </c>
      <c r="AA41" s="15" t="str">
        <f>VLOOKUP(Z41*2,FINALGRADES,3,TRUE)</f>
        <v>DDM</v>
      </c>
      <c r="AB41" s="16" t="s">
        <v>24</v>
      </c>
      <c r="AC41" s="15">
        <f>IF(ISBLANK(AB41),0,VLOOKUP(AB41,UNITGRADES,2,FALSE))</f>
        <v>80</v>
      </c>
      <c r="AD41" s="16" t="s">
        <v>25</v>
      </c>
      <c r="AE41" s="15">
        <f>IF(ISBLANK(AD41),0,VLOOKUP(AD41,UNITGRADES,2,FALSE))</f>
        <v>90</v>
      </c>
      <c r="AF41" s="16" t="s">
        <v>24</v>
      </c>
      <c r="AG41" s="15">
        <f>IF(ISBLANK(AF41),0,VLOOKUP(AF41,UNITGRADES,2,FALSE))</f>
        <v>80</v>
      </c>
      <c r="AH41" s="16" t="s">
        <v>25</v>
      </c>
      <c r="AI41" s="15">
        <f>IF(ISBLANK(AH41),0,VLOOKUP(AH41,UNITGRADES,2,FALSE))</f>
        <v>90</v>
      </c>
      <c r="AJ41" s="16" t="s">
        <v>25</v>
      </c>
      <c r="AK41" s="15">
        <f>IF(ISBLANK(AJ41),0,VLOOKUP(AJ41,UNITGRADES,2,FALSE))</f>
        <v>90</v>
      </c>
      <c r="AL41" s="16" t="s">
        <v>24</v>
      </c>
      <c r="AM41" s="15">
        <f>IF(ISBLANK(AL41),0,VLOOKUP(AL41,UNITGRADES,2,FALSE))</f>
        <v>80</v>
      </c>
      <c r="AN41" s="16" t="s">
        <v>24</v>
      </c>
      <c r="AO41" s="15">
        <f>IF(ISBLANK(AN41),0,VLOOKUP(AN41,UNITGRADES,2,FALSE))</f>
        <v>80</v>
      </c>
      <c r="AP41" s="16" t="s">
        <v>24</v>
      </c>
      <c r="AQ41" s="15">
        <f>IF(ISBLANK(AP41),0,VLOOKUP(AP41,UNITGRADES,2,FALSE))</f>
        <v>80</v>
      </c>
      <c r="AR41" s="16" t="s">
        <v>24</v>
      </c>
      <c r="AS41" s="11">
        <f>IF(ISBLANK(AR41),0,VLOOKUP(AR41,UNITGRADES,2,FALSE))</f>
        <v>80</v>
      </c>
      <c r="AT41" s="13">
        <f t="shared" si="1"/>
        <v>3</v>
      </c>
      <c r="AU41" s="13">
        <f t="shared" si="2"/>
        <v>7</v>
      </c>
      <c r="AV41" s="13">
        <f t="shared" si="3"/>
        <v>8</v>
      </c>
      <c r="AW41" s="17">
        <f t="shared" si="4"/>
        <v>1400</v>
      </c>
      <c r="AX41" s="18" t="str">
        <f>VLOOKUP(AW41,FINALGRADES,3,TRUE)</f>
        <v>MMM</v>
      </c>
      <c r="AY41" s="10">
        <f>VLOOKUP(AW41,FINALGRADES,4,TRUE)</f>
        <v>240</v>
      </c>
      <c r="AZ41" s="11">
        <f>VLOOKUP(G41,TARGETPOINTS,2,FALSE)</f>
        <v>360</v>
      </c>
      <c r="BA41" s="11" t="str">
        <f t="shared" si="5"/>
        <v>Under</v>
      </c>
      <c r="BB41" s="10"/>
      <c r="BC41" s="11"/>
      <c r="BD41" s="11"/>
    </row>
    <row r="42" spans="1:56" ht="11.25" customHeight="1">
      <c r="A42" s="13">
        <v>3</v>
      </c>
      <c r="B42" s="13">
        <v>5004328</v>
      </c>
      <c r="C42" s="12" t="s">
        <v>106</v>
      </c>
      <c r="D42" s="12" t="s">
        <v>107</v>
      </c>
      <c r="E42" s="13" t="s">
        <v>21</v>
      </c>
      <c r="F42" s="14">
        <v>32945</v>
      </c>
      <c r="G42" s="13" t="s">
        <v>37</v>
      </c>
      <c r="H42" s="16" t="s">
        <v>24</v>
      </c>
      <c r="I42" s="15">
        <f>IF(ISBLANK(H42),0,VLOOKUP(H42,UNITGRADES,2,FALSE))</f>
        <v>80</v>
      </c>
      <c r="J42" s="16" t="s">
        <v>25</v>
      </c>
      <c r="K42" s="15">
        <f>IF(ISBLANK(J42),0,VLOOKUP(J42,UNITGRADES,2,FALSE))</f>
        <v>90</v>
      </c>
      <c r="L42" s="16" t="s">
        <v>24</v>
      </c>
      <c r="M42" s="15">
        <f>IF(ISBLANK(L42),0,VLOOKUP(L42,UNITGRADES,2,FALSE))</f>
        <v>80</v>
      </c>
      <c r="N42" s="16" t="s">
        <v>24</v>
      </c>
      <c r="O42" s="15">
        <f>IF(ISBLANK(N42),0,VLOOKUP(N42,UNITGRADES,2,FALSE))</f>
        <v>80</v>
      </c>
      <c r="P42" s="16" t="s">
        <v>24</v>
      </c>
      <c r="Q42" s="15">
        <f>IF(ISBLANK(P42),0,VLOOKUP(P42,UNITGRADES,2,FALSE))</f>
        <v>80</v>
      </c>
      <c r="R42" s="16" t="s">
        <v>25</v>
      </c>
      <c r="S42" s="15">
        <f>IF(ISBLANK(R42),0,VLOOKUP(R42,UNITGRADES,2,FALSE))</f>
        <v>90</v>
      </c>
      <c r="T42" s="16" t="s">
        <v>23</v>
      </c>
      <c r="U42" s="15">
        <f>IF(ISBLANK(T42),0,VLOOKUP(T42,UNITGRADES,2,FALSE))</f>
        <v>70</v>
      </c>
      <c r="V42" s="16" t="s">
        <v>24</v>
      </c>
      <c r="W42" s="15">
        <f>IF(ISBLANK(H42),0,VLOOKUP(H42,UNITGRADES,2,FALSE))</f>
        <v>80</v>
      </c>
      <c r="X42" s="16" t="s">
        <v>25</v>
      </c>
      <c r="Y42" s="15">
        <f>IF(ISBLANK(X42),0,VLOOKUP(X42,UNITGRADES,2,FALSE))</f>
        <v>90</v>
      </c>
      <c r="Z42" s="15">
        <f t="shared" si="0"/>
        <v>740</v>
      </c>
      <c r="AA42" s="15" t="str">
        <f>VLOOKUP(Z42*2,FINALGRADES,3,TRUE)</f>
        <v>DDM</v>
      </c>
      <c r="AB42" s="16" t="s">
        <v>25</v>
      </c>
      <c r="AC42" s="15">
        <f>IF(ISBLANK(AB42),0,VLOOKUP(AB42,UNITGRADES,2,FALSE))</f>
        <v>90</v>
      </c>
      <c r="AD42" s="16" t="s">
        <v>25</v>
      </c>
      <c r="AE42" s="15">
        <f>IF(ISBLANK(AD42),0,VLOOKUP(AD42,UNITGRADES,2,FALSE))</f>
        <v>90</v>
      </c>
      <c r="AF42" s="16" t="s">
        <v>23</v>
      </c>
      <c r="AG42" s="15">
        <f>IF(ISBLANK(AF42),0,VLOOKUP(AF42,UNITGRADES,2,FALSE))</f>
        <v>70</v>
      </c>
      <c r="AH42" s="16" t="s">
        <v>25</v>
      </c>
      <c r="AI42" s="15">
        <f>IF(ISBLANK(AH42),0,VLOOKUP(AH42,UNITGRADES,2,FALSE))</f>
        <v>90</v>
      </c>
      <c r="AJ42" s="16" t="s">
        <v>23</v>
      </c>
      <c r="AK42" s="15">
        <f>IF(ISBLANK(AJ42),0,VLOOKUP(AJ42,UNITGRADES,2,FALSE))</f>
        <v>70</v>
      </c>
      <c r="AL42" s="16" t="s">
        <v>25</v>
      </c>
      <c r="AM42" s="15">
        <f>IF(ISBLANK(AL42),0,VLOOKUP(AL42,UNITGRADES,2,FALSE))</f>
        <v>90</v>
      </c>
      <c r="AN42" s="16" t="s">
        <v>25</v>
      </c>
      <c r="AO42" s="15">
        <f>IF(ISBLANK(AN42),0,VLOOKUP(AN42,UNITGRADES,2,FALSE))</f>
        <v>90</v>
      </c>
      <c r="AP42" s="16" t="s">
        <v>23</v>
      </c>
      <c r="AQ42" s="15">
        <f>IF(ISBLANK(AP42),0,VLOOKUP(AP42,UNITGRADES,2,FALSE))</f>
        <v>70</v>
      </c>
      <c r="AR42" s="16" t="s">
        <v>25</v>
      </c>
      <c r="AS42" s="11">
        <f>IF(ISBLANK(AR42),0,VLOOKUP(AR42,UNITGRADES,2,FALSE))</f>
        <v>90</v>
      </c>
      <c r="AT42" s="13">
        <f t="shared" si="1"/>
        <v>4</v>
      </c>
      <c r="AU42" s="13">
        <f t="shared" si="2"/>
        <v>5</v>
      </c>
      <c r="AV42" s="13">
        <f t="shared" si="3"/>
        <v>9</v>
      </c>
      <c r="AW42" s="17">
        <f t="shared" si="4"/>
        <v>1400</v>
      </c>
      <c r="AX42" s="18" t="str">
        <f>VLOOKUP(AW42,FINALGRADES,3,TRUE)</f>
        <v>MMM</v>
      </c>
      <c r="AY42" s="10">
        <f>VLOOKUP(AW42,FINALGRADES,4,TRUE)</f>
        <v>240</v>
      </c>
      <c r="AZ42" s="11">
        <f>VLOOKUP(G42,TARGETPOINTS,2,FALSE)</f>
        <v>120</v>
      </c>
      <c r="BA42" s="11" t="str">
        <f t="shared" si="5"/>
        <v>Over</v>
      </c>
      <c r="BB42" s="10"/>
      <c r="BC42" s="11"/>
      <c r="BD42" s="11"/>
    </row>
    <row r="43" spans="1:56" ht="11.25" customHeight="1">
      <c r="A43" s="13">
        <v>4</v>
      </c>
      <c r="B43" s="13">
        <v>8192728</v>
      </c>
      <c r="C43" s="12" t="s">
        <v>108</v>
      </c>
      <c r="D43" s="12" t="s">
        <v>109</v>
      </c>
      <c r="E43" s="13" t="s">
        <v>21</v>
      </c>
      <c r="F43" s="14">
        <v>33806</v>
      </c>
      <c r="G43" s="13" t="s">
        <v>70</v>
      </c>
      <c r="H43" s="16" t="s">
        <v>24</v>
      </c>
      <c r="I43" s="15">
        <f>IF(ISBLANK(H43),0,VLOOKUP(H43,UNITGRADES,2,FALSE))</f>
        <v>80</v>
      </c>
      <c r="J43" s="16" t="s">
        <v>23</v>
      </c>
      <c r="K43" s="15">
        <f>IF(ISBLANK(J43),0,VLOOKUP(J43,UNITGRADES,2,FALSE))</f>
        <v>70</v>
      </c>
      <c r="L43" s="16" t="s">
        <v>24</v>
      </c>
      <c r="M43" s="15">
        <f>IF(ISBLANK(L43),0,VLOOKUP(L43,UNITGRADES,2,FALSE))</f>
        <v>80</v>
      </c>
      <c r="N43" s="16" t="s">
        <v>23</v>
      </c>
      <c r="O43" s="15">
        <f>IF(ISBLANK(N43),0,VLOOKUP(N43,UNITGRADES,2,FALSE))</f>
        <v>70</v>
      </c>
      <c r="P43" s="16" t="s">
        <v>23</v>
      </c>
      <c r="Q43" s="15">
        <f>IF(ISBLANK(P43),0,VLOOKUP(P43,UNITGRADES,2,FALSE))</f>
        <v>70</v>
      </c>
      <c r="R43" s="16" t="s">
        <v>25</v>
      </c>
      <c r="S43" s="15">
        <f>IF(ISBLANK(R43),0,VLOOKUP(R43,UNITGRADES,2,FALSE))</f>
        <v>90</v>
      </c>
      <c r="T43" s="16" t="s">
        <v>25</v>
      </c>
      <c r="U43" s="15">
        <f>IF(ISBLANK(T43),0,VLOOKUP(T43,UNITGRADES,2,FALSE))</f>
        <v>90</v>
      </c>
      <c r="V43" s="16" t="s">
        <v>24</v>
      </c>
      <c r="W43" s="15">
        <f>IF(ISBLANK(H43),0,VLOOKUP(H43,UNITGRADES,2,FALSE))</f>
        <v>80</v>
      </c>
      <c r="X43" s="16" t="s">
        <v>25</v>
      </c>
      <c r="Y43" s="15">
        <f>IF(ISBLANK(X43),0,VLOOKUP(X43,UNITGRADES,2,FALSE))</f>
        <v>90</v>
      </c>
      <c r="Z43" s="15">
        <f t="shared" si="0"/>
        <v>720</v>
      </c>
      <c r="AA43" s="15" t="str">
        <f>VLOOKUP(Z43*2,FINALGRADES,3,TRUE)</f>
        <v>DMM</v>
      </c>
      <c r="AB43" s="16" t="s">
        <v>23</v>
      </c>
      <c r="AC43" s="15">
        <f>IF(ISBLANK(AB43),0,VLOOKUP(AB43,UNITGRADES,2,FALSE))</f>
        <v>70</v>
      </c>
      <c r="AD43" s="16" t="s">
        <v>25</v>
      </c>
      <c r="AE43" s="15">
        <f>IF(ISBLANK(AD43),0,VLOOKUP(AD43,UNITGRADES,2,FALSE))</f>
        <v>90</v>
      </c>
      <c r="AF43" s="16" t="s">
        <v>25</v>
      </c>
      <c r="AG43" s="15">
        <f>IF(ISBLANK(AF43),0,VLOOKUP(AF43,UNITGRADES,2,FALSE))</f>
        <v>90</v>
      </c>
      <c r="AH43" s="16" t="s">
        <v>24</v>
      </c>
      <c r="AI43" s="15">
        <f>IF(ISBLANK(AH43),0,VLOOKUP(AH43,UNITGRADES,2,FALSE))</f>
        <v>80</v>
      </c>
      <c r="AJ43" s="16" t="s">
        <v>25</v>
      </c>
      <c r="AK43" s="15">
        <f>IF(ISBLANK(AJ43),0,VLOOKUP(AJ43,UNITGRADES,2,FALSE))</f>
        <v>90</v>
      </c>
      <c r="AL43" s="16" t="s">
        <v>25</v>
      </c>
      <c r="AM43" s="15">
        <f>IF(ISBLANK(AL43),0,VLOOKUP(AL43,UNITGRADES,2,FALSE))</f>
        <v>90</v>
      </c>
      <c r="AN43" s="16" t="s">
        <v>25</v>
      </c>
      <c r="AO43" s="15">
        <f>IF(ISBLANK(AN43),0,VLOOKUP(AN43,UNITGRADES,2,FALSE))</f>
        <v>90</v>
      </c>
      <c r="AP43" s="16" t="s">
        <v>24</v>
      </c>
      <c r="AQ43" s="15">
        <f>IF(ISBLANK(AP43),0,VLOOKUP(AP43,UNITGRADES,2,FALSE))</f>
        <v>80</v>
      </c>
      <c r="AR43" s="16" t="s">
        <v>24</v>
      </c>
      <c r="AS43" s="11">
        <f>IF(ISBLANK(AR43),0,VLOOKUP(AR43,UNITGRADES,2,FALSE))</f>
        <v>80</v>
      </c>
      <c r="AT43" s="13">
        <f t="shared" si="1"/>
        <v>4</v>
      </c>
      <c r="AU43" s="13">
        <f t="shared" si="2"/>
        <v>6</v>
      </c>
      <c r="AV43" s="13">
        <f t="shared" si="3"/>
        <v>8</v>
      </c>
      <c r="AW43" s="17">
        <f t="shared" si="4"/>
        <v>1400</v>
      </c>
      <c r="AX43" s="18" t="str">
        <f>VLOOKUP(AW43,FINALGRADES,3,TRUE)</f>
        <v>MMM</v>
      </c>
      <c r="AY43" s="10">
        <f>VLOOKUP(AW43,FINALGRADES,4,TRUE)</f>
        <v>240</v>
      </c>
      <c r="AZ43" s="11">
        <f>VLOOKUP(G43,TARGETPOINTS,2,FALSE)</f>
        <v>320</v>
      </c>
      <c r="BA43" s="11" t="str">
        <f t="shared" si="5"/>
        <v>Under</v>
      </c>
      <c r="BB43" s="10"/>
      <c r="BC43" s="11"/>
      <c r="BD43" s="11"/>
    </row>
    <row r="44" spans="1:56" ht="11.25" customHeight="1">
      <c r="A44" s="13">
        <v>4</v>
      </c>
      <c r="B44" s="13">
        <v>5920961</v>
      </c>
      <c r="C44" s="12" t="s">
        <v>19</v>
      </c>
      <c r="D44" s="12" t="s">
        <v>110</v>
      </c>
      <c r="E44" s="13" t="s">
        <v>21</v>
      </c>
      <c r="F44" s="14">
        <v>34132</v>
      </c>
      <c r="G44" s="13" t="s">
        <v>22</v>
      </c>
      <c r="H44" s="16" t="s">
        <v>24</v>
      </c>
      <c r="I44" s="15">
        <f>IF(ISBLANK(H44),0,VLOOKUP(H44,UNITGRADES,2,FALSE))</f>
        <v>80</v>
      </c>
      <c r="J44" s="16" t="s">
        <v>25</v>
      </c>
      <c r="K44" s="15">
        <f>IF(ISBLANK(J44),0,VLOOKUP(J44,UNITGRADES,2,FALSE))</f>
        <v>90</v>
      </c>
      <c r="L44" s="16" t="s">
        <v>25</v>
      </c>
      <c r="M44" s="15">
        <f>IF(ISBLANK(L44),0,VLOOKUP(L44,UNITGRADES,2,FALSE))</f>
        <v>90</v>
      </c>
      <c r="N44" s="16" t="s">
        <v>25</v>
      </c>
      <c r="O44" s="15">
        <f>IF(ISBLANK(N44),0,VLOOKUP(N44,UNITGRADES,2,FALSE))</f>
        <v>90</v>
      </c>
      <c r="P44" s="16" t="s">
        <v>25</v>
      </c>
      <c r="Q44" s="15">
        <f>IF(ISBLANK(P44),0,VLOOKUP(P44,UNITGRADES,2,FALSE))</f>
        <v>90</v>
      </c>
      <c r="R44" s="16" t="s">
        <v>23</v>
      </c>
      <c r="S44" s="15">
        <f>IF(ISBLANK(R44),0,VLOOKUP(R44,UNITGRADES,2,FALSE))</f>
        <v>70</v>
      </c>
      <c r="T44" s="16" t="s">
        <v>25</v>
      </c>
      <c r="U44" s="15">
        <f>IF(ISBLANK(T44),0,VLOOKUP(T44,UNITGRADES,2,FALSE))</f>
        <v>90</v>
      </c>
      <c r="V44" s="16" t="s">
        <v>23</v>
      </c>
      <c r="W44" s="15">
        <f>IF(ISBLANK(H44),0,VLOOKUP(H44,UNITGRADES,2,FALSE))</f>
        <v>80</v>
      </c>
      <c r="X44" s="16" t="s">
        <v>25</v>
      </c>
      <c r="Y44" s="15">
        <f>IF(ISBLANK(X44),0,VLOOKUP(X44,UNITGRADES,2,FALSE))</f>
        <v>90</v>
      </c>
      <c r="Z44" s="15">
        <f t="shared" si="0"/>
        <v>770</v>
      </c>
      <c r="AA44" s="15" t="str">
        <f>VLOOKUP(Z44*2,FINALGRADES,3,TRUE)</f>
        <v>DDD*</v>
      </c>
      <c r="AB44" s="16" t="s">
        <v>24</v>
      </c>
      <c r="AC44" s="15">
        <f>IF(ISBLANK(AB44),0,VLOOKUP(AB44,UNITGRADES,2,FALSE))</f>
        <v>80</v>
      </c>
      <c r="AD44" s="16" t="s">
        <v>23</v>
      </c>
      <c r="AE44" s="15">
        <f>IF(ISBLANK(AD44),0,VLOOKUP(AD44,UNITGRADES,2,FALSE))</f>
        <v>70</v>
      </c>
      <c r="AF44" s="16" t="s">
        <v>23</v>
      </c>
      <c r="AG44" s="15">
        <f>IF(ISBLANK(AF44),0,VLOOKUP(AF44,UNITGRADES,2,FALSE))</f>
        <v>70</v>
      </c>
      <c r="AH44" s="16" t="s">
        <v>25</v>
      </c>
      <c r="AI44" s="15">
        <f>IF(ISBLANK(AH44),0,VLOOKUP(AH44,UNITGRADES,2,FALSE))</f>
        <v>90</v>
      </c>
      <c r="AJ44" s="16" t="s">
        <v>24</v>
      </c>
      <c r="AK44" s="15">
        <f>IF(ISBLANK(AJ44),0,VLOOKUP(AJ44,UNITGRADES,2,FALSE))</f>
        <v>80</v>
      </c>
      <c r="AL44" s="16" t="s">
        <v>24</v>
      </c>
      <c r="AM44" s="15">
        <f>IF(ISBLANK(AL44),0,VLOOKUP(AL44,UNITGRADES,2,FALSE))</f>
        <v>80</v>
      </c>
      <c r="AN44" s="16" t="s">
        <v>23</v>
      </c>
      <c r="AO44" s="15">
        <f>IF(ISBLANK(AN44),0,VLOOKUP(AN44,UNITGRADES,2,FALSE))</f>
        <v>70</v>
      </c>
      <c r="AP44" s="16" t="s">
        <v>25</v>
      </c>
      <c r="AQ44" s="15">
        <f>IF(ISBLANK(AP44),0,VLOOKUP(AP44,UNITGRADES,2,FALSE))</f>
        <v>90</v>
      </c>
      <c r="AR44" s="16" t="s">
        <v>24</v>
      </c>
      <c r="AS44" s="11">
        <f>IF(ISBLANK(AR44),0,VLOOKUP(AR44,UNITGRADES,2,FALSE))</f>
        <v>80</v>
      </c>
      <c r="AT44" s="13">
        <f t="shared" si="1"/>
        <v>5</v>
      </c>
      <c r="AU44" s="13">
        <f t="shared" si="2"/>
        <v>5</v>
      </c>
      <c r="AV44" s="13">
        <f t="shared" si="3"/>
        <v>8</v>
      </c>
      <c r="AW44" s="17">
        <f t="shared" si="4"/>
        <v>1400</v>
      </c>
      <c r="AX44" s="18" t="str">
        <f>VLOOKUP(AW44,FINALGRADES,3,TRUE)</f>
        <v>MMM</v>
      </c>
      <c r="AY44" s="10">
        <f>VLOOKUP(AW44,FINALGRADES,4,TRUE)</f>
        <v>240</v>
      </c>
      <c r="AZ44" s="11">
        <f>VLOOKUP(G44,TARGETPOINTS,2,FALSE)</f>
        <v>160</v>
      </c>
      <c r="BA44" s="11" t="str">
        <f t="shared" si="5"/>
        <v>Over</v>
      </c>
      <c r="BB44" s="10"/>
      <c r="BC44" s="11"/>
      <c r="BD44" s="11"/>
    </row>
    <row r="45" spans="1:56" ht="11.25" customHeight="1">
      <c r="A45" s="13">
        <v>3</v>
      </c>
      <c r="B45" s="13">
        <v>5492997</v>
      </c>
      <c r="C45" s="12" t="s">
        <v>111</v>
      </c>
      <c r="D45" s="12" t="s">
        <v>112</v>
      </c>
      <c r="E45" s="13" t="s">
        <v>21</v>
      </c>
      <c r="F45" s="14">
        <v>33814</v>
      </c>
      <c r="G45" s="13" t="s">
        <v>32</v>
      </c>
      <c r="H45" s="16" t="s">
        <v>25</v>
      </c>
      <c r="I45" s="15">
        <f>IF(ISBLANK(H45),0,VLOOKUP(H45,UNITGRADES,2,FALSE))</f>
        <v>90</v>
      </c>
      <c r="J45" s="16" t="s">
        <v>23</v>
      </c>
      <c r="K45" s="15">
        <f>IF(ISBLANK(J45),0,VLOOKUP(J45,UNITGRADES,2,FALSE))</f>
        <v>70</v>
      </c>
      <c r="L45" s="16" t="s">
        <v>25</v>
      </c>
      <c r="M45" s="15">
        <f>IF(ISBLANK(L45),0,VLOOKUP(L45,UNITGRADES,2,FALSE))</f>
        <v>90</v>
      </c>
      <c r="N45" s="16" t="s">
        <v>23</v>
      </c>
      <c r="O45" s="15">
        <f>IF(ISBLANK(N45),0,VLOOKUP(N45,UNITGRADES,2,FALSE))</f>
        <v>70</v>
      </c>
      <c r="P45" s="16" t="s">
        <v>24</v>
      </c>
      <c r="Q45" s="15">
        <f>IF(ISBLANK(P45),0,VLOOKUP(P45,UNITGRADES,2,FALSE))</f>
        <v>80</v>
      </c>
      <c r="R45" s="16" t="s">
        <v>23</v>
      </c>
      <c r="S45" s="15">
        <f>IF(ISBLANK(R45),0,VLOOKUP(R45,UNITGRADES,2,FALSE))</f>
        <v>70</v>
      </c>
      <c r="T45" s="16" t="s">
        <v>24</v>
      </c>
      <c r="U45" s="15">
        <f>IF(ISBLANK(T45),0,VLOOKUP(T45,UNITGRADES,2,FALSE))</f>
        <v>80</v>
      </c>
      <c r="V45" s="16" t="s">
        <v>24</v>
      </c>
      <c r="W45" s="15">
        <f>IF(ISBLANK(H45),0,VLOOKUP(H45,UNITGRADES,2,FALSE))</f>
        <v>90</v>
      </c>
      <c r="X45" s="16" t="s">
        <v>24</v>
      </c>
      <c r="Y45" s="15">
        <f>IF(ISBLANK(X45),0,VLOOKUP(X45,UNITGRADES,2,FALSE))</f>
        <v>80</v>
      </c>
      <c r="Z45" s="15">
        <f t="shared" si="0"/>
        <v>720</v>
      </c>
      <c r="AA45" s="15" t="str">
        <f>VLOOKUP(Z45*2,FINALGRADES,3,TRUE)</f>
        <v>DMM</v>
      </c>
      <c r="AB45" s="16" t="s">
        <v>25</v>
      </c>
      <c r="AC45" s="15">
        <f>IF(ISBLANK(AB45),0,VLOOKUP(AB45,UNITGRADES,2,FALSE))</f>
        <v>90</v>
      </c>
      <c r="AD45" s="16" t="s">
        <v>25</v>
      </c>
      <c r="AE45" s="15">
        <f>IF(ISBLANK(AD45),0,VLOOKUP(AD45,UNITGRADES,2,FALSE))</f>
        <v>90</v>
      </c>
      <c r="AF45" s="16" t="s">
        <v>23</v>
      </c>
      <c r="AG45" s="15">
        <f>IF(ISBLANK(AF45),0,VLOOKUP(AF45,UNITGRADES,2,FALSE))</f>
        <v>70</v>
      </c>
      <c r="AH45" s="16" t="s">
        <v>25</v>
      </c>
      <c r="AI45" s="15">
        <f>IF(ISBLANK(AH45),0,VLOOKUP(AH45,UNITGRADES,2,FALSE))</f>
        <v>90</v>
      </c>
      <c r="AJ45" s="16" t="s">
        <v>25</v>
      </c>
      <c r="AK45" s="15">
        <f>IF(ISBLANK(AJ45),0,VLOOKUP(AJ45,UNITGRADES,2,FALSE))</f>
        <v>90</v>
      </c>
      <c r="AL45" s="16" t="s">
        <v>25</v>
      </c>
      <c r="AM45" s="15">
        <f>IF(ISBLANK(AL45),0,VLOOKUP(AL45,UNITGRADES,2,FALSE))</f>
        <v>90</v>
      </c>
      <c r="AN45" s="16" t="s">
        <v>25</v>
      </c>
      <c r="AO45" s="15">
        <f>IF(ISBLANK(AN45),0,VLOOKUP(AN45,UNITGRADES,2,FALSE))</f>
        <v>90</v>
      </c>
      <c r="AP45" s="16" t="s">
        <v>25</v>
      </c>
      <c r="AQ45" s="15">
        <f>IF(ISBLANK(AP45),0,VLOOKUP(AP45,UNITGRADES,2,FALSE))</f>
        <v>90</v>
      </c>
      <c r="AR45" s="16" t="s">
        <v>23</v>
      </c>
      <c r="AS45" s="11">
        <f>IF(ISBLANK(AR45),0,VLOOKUP(AR45,UNITGRADES,2,FALSE))</f>
        <v>70</v>
      </c>
      <c r="AT45" s="13">
        <f t="shared" si="1"/>
        <v>5</v>
      </c>
      <c r="AU45" s="13">
        <f t="shared" si="2"/>
        <v>4</v>
      </c>
      <c r="AV45" s="13">
        <f t="shared" si="3"/>
        <v>9</v>
      </c>
      <c r="AW45" s="17">
        <f t="shared" si="4"/>
        <v>1420</v>
      </c>
      <c r="AX45" s="18" t="str">
        <f>VLOOKUP(AW45,FINALGRADES,3,TRUE)</f>
        <v>DMM</v>
      </c>
      <c r="AY45" s="10">
        <f>VLOOKUP(AW45,FINALGRADES,4,TRUE)</f>
        <v>280</v>
      </c>
      <c r="AZ45" s="11">
        <f>VLOOKUP(G45,TARGETPOINTS,2,FALSE)</f>
        <v>240</v>
      </c>
      <c r="BA45" s="11" t="str">
        <f t="shared" si="5"/>
        <v>Over</v>
      </c>
      <c r="BB45" s="10"/>
      <c r="BC45" s="11"/>
      <c r="BD45" s="11"/>
    </row>
    <row r="46" spans="1:56" ht="11.25" customHeight="1">
      <c r="A46" s="13">
        <v>1</v>
      </c>
      <c r="B46" s="13">
        <v>5648985</v>
      </c>
      <c r="C46" s="12" t="s">
        <v>113</v>
      </c>
      <c r="D46" s="12" t="s">
        <v>114</v>
      </c>
      <c r="E46" s="13" t="s">
        <v>21</v>
      </c>
      <c r="F46" s="14">
        <v>33151</v>
      </c>
      <c r="G46" s="13" t="s">
        <v>32</v>
      </c>
      <c r="H46" s="16" t="s">
        <v>25</v>
      </c>
      <c r="I46" s="15">
        <f>IF(ISBLANK(H46),0,VLOOKUP(H46,UNITGRADES,2,FALSE))</f>
        <v>90</v>
      </c>
      <c r="J46" s="16" t="s">
        <v>25</v>
      </c>
      <c r="K46" s="15">
        <f>IF(ISBLANK(J46),0,VLOOKUP(J46,UNITGRADES,2,FALSE))</f>
        <v>90</v>
      </c>
      <c r="L46" s="16" t="s">
        <v>24</v>
      </c>
      <c r="M46" s="15">
        <f>IF(ISBLANK(L46),0,VLOOKUP(L46,UNITGRADES,2,FALSE))</f>
        <v>80</v>
      </c>
      <c r="N46" s="16" t="s">
        <v>24</v>
      </c>
      <c r="O46" s="15">
        <f>IF(ISBLANK(N46),0,VLOOKUP(N46,UNITGRADES,2,FALSE))</f>
        <v>80</v>
      </c>
      <c r="P46" s="16" t="s">
        <v>23</v>
      </c>
      <c r="Q46" s="15">
        <f>IF(ISBLANK(P46),0,VLOOKUP(P46,UNITGRADES,2,FALSE))</f>
        <v>70</v>
      </c>
      <c r="R46" s="16" t="s">
        <v>25</v>
      </c>
      <c r="S46" s="15">
        <f>IF(ISBLANK(R46),0,VLOOKUP(R46,UNITGRADES,2,FALSE))</f>
        <v>90</v>
      </c>
      <c r="T46" s="16" t="s">
        <v>25</v>
      </c>
      <c r="U46" s="15">
        <f>IF(ISBLANK(T46),0,VLOOKUP(T46,UNITGRADES,2,FALSE))</f>
        <v>90</v>
      </c>
      <c r="V46" s="16" t="s">
        <v>23</v>
      </c>
      <c r="W46" s="15">
        <f>IF(ISBLANK(H46),0,VLOOKUP(H46,UNITGRADES,2,FALSE))</f>
        <v>90</v>
      </c>
      <c r="X46" s="16" t="s">
        <v>25</v>
      </c>
      <c r="Y46" s="15">
        <f>IF(ISBLANK(X46),0,VLOOKUP(X46,UNITGRADES,2,FALSE))</f>
        <v>90</v>
      </c>
      <c r="Z46" s="15">
        <f t="shared" si="0"/>
        <v>770</v>
      </c>
      <c r="AA46" s="15" t="str">
        <f>VLOOKUP(Z46*2,FINALGRADES,3,TRUE)</f>
        <v>DDD*</v>
      </c>
      <c r="AB46" s="16" t="s">
        <v>24</v>
      </c>
      <c r="AC46" s="15">
        <f>IF(ISBLANK(AB46),0,VLOOKUP(AB46,UNITGRADES,2,FALSE))</f>
        <v>80</v>
      </c>
      <c r="AD46" s="16" t="s">
        <v>24</v>
      </c>
      <c r="AE46" s="15">
        <f>IF(ISBLANK(AD46),0,VLOOKUP(AD46,UNITGRADES,2,FALSE))</f>
        <v>80</v>
      </c>
      <c r="AF46" s="16" t="s">
        <v>25</v>
      </c>
      <c r="AG46" s="15">
        <f>IF(ISBLANK(AF46),0,VLOOKUP(AF46,UNITGRADES,2,FALSE))</f>
        <v>90</v>
      </c>
      <c r="AH46" s="16" t="s">
        <v>25</v>
      </c>
      <c r="AI46" s="15">
        <f>IF(ISBLANK(AH46),0,VLOOKUP(AH46,UNITGRADES,2,FALSE))</f>
        <v>90</v>
      </c>
      <c r="AJ46" s="16" t="s">
        <v>23</v>
      </c>
      <c r="AK46" s="15">
        <f>IF(ISBLANK(AJ46),0,VLOOKUP(AJ46,UNITGRADES,2,FALSE))</f>
        <v>70</v>
      </c>
      <c r="AL46" s="16" t="s">
        <v>25</v>
      </c>
      <c r="AM46" s="15">
        <f>IF(ISBLANK(AL46),0,VLOOKUP(AL46,UNITGRADES,2,FALSE))</f>
        <v>90</v>
      </c>
      <c r="AN46" s="16" t="s">
        <v>25</v>
      </c>
      <c r="AO46" s="15">
        <f>IF(ISBLANK(AN46),0,VLOOKUP(AN46,UNITGRADES,2,FALSE))</f>
        <v>90</v>
      </c>
      <c r="AP46" s="16" t="s">
        <v>23</v>
      </c>
      <c r="AQ46" s="15">
        <f>IF(ISBLANK(AP46),0,VLOOKUP(AP46,UNITGRADES,2,FALSE))</f>
        <v>70</v>
      </c>
      <c r="AR46" s="16" t="s">
        <v>24</v>
      </c>
      <c r="AS46" s="11">
        <f>IF(ISBLANK(AR46),0,VLOOKUP(AR46,UNITGRADES,2,FALSE))</f>
        <v>80</v>
      </c>
      <c r="AT46" s="13">
        <f t="shared" si="1"/>
        <v>4</v>
      </c>
      <c r="AU46" s="13">
        <f t="shared" si="2"/>
        <v>5</v>
      </c>
      <c r="AV46" s="13">
        <f t="shared" si="3"/>
        <v>9</v>
      </c>
      <c r="AW46" s="17">
        <f t="shared" si="4"/>
        <v>1430</v>
      </c>
      <c r="AX46" s="18" t="str">
        <f>VLOOKUP(AW46,FINALGRADES,3,TRUE)</f>
        <v>DMM</v>
      </c>
      <c r="AY46" s="10">
        <f>VLOOKUP(AW46,FINALGRADES,4,TRUE)</f>
        <v>280</v>
      </c>
      <c r="AZ46" s="11">
        <f>VLOOKUP(G46,TARGETPOINTS,2,FALSE)</f>
        <v>240</v>
      </c>
      <c r="BA46" s="11" t="str">
        <f t="shared" si="5"/>
        <v>Over</v>
      </c>
      <c r="BB46" s="10"/>
      <c r="BC46" s="11"/>
      <c r="BD46" s="11"/>
    </row>
    <row r="47" spans="1:56" ht="11.25" customHeight="1">
      <c r="A47" s="13">
        <v>1</v>
      </c>
      <c r="B47" s="13">
        <v>9872136</v>
      </c>
      <c r="C47" s="12" t="s">
        <v>115</v>
      </c>
      <c r="D47" s="12" t="s">
        <v>116</v>
      </c>
      <c r="E47" s="13" t="s">
        <v>21</v>
      </c>
      <c r="F47" s="14">
        <v>34149</v>
      </c>
      <c r="G47" s="13" t="s">
        <v>50</v>
      </c>
      <c r="H47" s="16" t="s">
        <v>24</v>
      </c>
      <c r="I47" s="15">
        <f>IF(ISBLANK(H47),0,VLOOKUP(H47,UNITGRADES,2,FALSE))</f>
        <v>80</v>
      </c>
      <c r="J47" s="16" t="s">
        <v>24</v>
      </c>
      <c r="K47" s="15">
        <f>IF(ISBLANK(J47),0,VLOOKUP(J47,UNITGRADES,2,FALSE))</f>
        <v>80</v>
      </c>
      <c r="L47" s="16" t="s">
        <v>25</v>
      </c>
      <c r="M47" s="15">
        <f>IF(ISBLANK(L47),0,VLOOKUP(L47,UNITGRADES,2,FALSE))</f>
        <v>90</v>
      </c>
      <c r="N47" s="16" t="s">
        <v>24</v>
      </c>
      <c r="O47" s="15">
        <f>IF(ISBLANK(N47),0,VLOOKUP(N47,UNITGRADES,2,FALSE))</f>
        <v>80</v>
      </c>
      <c r="P47" s="16" t="s">
        <v>25</v>
      </c>
      <c r="Q47" s="15">
        <f>IF(ISBLANK(P47),0,VLOOKUP(P47,UNITGRADES,2,FALSE))</f>
        <v>90</v>
      </c>
      <c r="R47" s="16" t="s">
        <v>25</v>
      </c>
      <c r="S47" s="15">
        <f>IF(ISBLANK(R47),0,VLOOKUP(R47,UNITGRADES,2,FALSE))</f>
        <v>90</v>
      </c>
      <c r="T47" s="16" t="s">
        <v>24</v>
      </c>
      <c r="U47" s="15">
        <f>IF(ISBLANK(T47),0,VLOOKUP(T47,UNITGRADES,2,FALSE))</f>
        <v>80</v>
      </c>
      <c r="V47" s="16" t="s">
        <v>23</v>
      </c>
      <c r="W47" s="15">
        <f>IF(ISBLANK(H47),0,VLOOKUP(H47,UNITGRADES,2,FALSE))</f>
        <v>80</v>
      </c>
      <c r="X47" s="16" t="s">
        <v>25</v>
      </c>
      <c r="Y47" s="15">
        <f>IF(ISBLANK(X47),0,VLOOKUP(X47,UNITGRADES,2,FALSE))</f>
        <v>90</v>
      </c>
      <c r="Z47" s="15">
        <f t="shared" si="0"/>
        <v>760</v>
      </c>
      <c r="AA47" s="15" t="str">
        <f>VLOOKUP(Z47*2,FINALGRADES,3,TRUE)</f>
        <v>DDD</v>
      </c>
      <c r="AB47" s="16" t="s">
        <v>23</v>
      </c>
      <c r="AC47" s="15">
        <f>IF(ISBLANK(AB47),0,VLOOKUP(AB47,UNITGRADES,2,FALSE))</f>
        <v>70</v>
      </c>
      <c r="AD47" s="16" t="s">
        <v>25</v>
      </c>
      <c r="AE47" s="15">
        <f>IF(ISBLANK(AD47),0,VLOOKUP(AD47,UNITGRADES,2,FALSE))</f>
        <v>90</v>
      </c>
      <c r="AF47" s="16" t="s">
        <v>23</v>
      </c>
      <c r="AG47" s="15">
        <f>IF(ISBLANK(AF47),0,VLOOKUP(AF47,UNITGRADES,2,FALSE))</f>
        <v>70</v>
      </c>
      <c r="AH47" s="16" t="s">
        <v>25</v>
      </c>
      <c r="AI47" s="15">
        <f>IF(ISBLANK(AH47),0,VLOOKUP(AH47,UNITGRADES,2,FALSE))</f>
        <v>90</v>
      </c>
      <c r="AJ47" s="16" t="s">
        <v>24</v>
      </c>
      <c r="AK47" s="15">
        <f>IF(ISBLANK(AJ47),0,VLOOKUP(AJ47,UNITGRADES,2,FALSE))</f>
        <v>80</v>
      </c>
      <c r="AL47" s="16" t="s">
        <v>25</v>
      </c>
      <c r="AM47" s="15">
        <f>IF(ISBLANK(AL47),0,VLOOKUP(AL47,UNITGRADES,2,FALSE))</f>
        <v>90</v>
      </c>
      <c r="AN47" s="16" t="s">
        <v>25</v>
      </c>
      <c r="AO47" s="15">
        <f>IF(ISBLANK(AN47),0,VLOOKUP(AN47,UNITGRADES,2,FALSE))</f>
        <v>90</v>
      </c>
      <c r="AP47" s="16" t="s">
        <v>25</v>
      </c>
      <c r="AQ47" s="15">
        <f>IF(ISBLANK(AP47),0,VLOOKUP(AP47,UNITGRADES,2,FALSE))</f>
        <v>90</v>
      </c>
      <c r="AR47" s="16" t="s">
        <v>23</v>
      </c>
      <c r="AS47" s="11">
        <f>IF(ISBLANK(AR47),0,VLOOKUP(AR47,UNITGRADES,2,FALSE))</f>
        <v>70</v>
      </c>
      <c r="AT47" s="13">
        <f t="shared" si="1"/>
        <v>4</v>
      </c>
      <c r="AU47" s="13">
        <f t="shared" si="2"/>
        <v>5</v>
      </c>
      <c r="AV47" s="13">
        <f t="shared" si="3"/>
        <v>9</v>
      </c>
      <c r="AW47" s="17">
        <f t="shared" si="4"/>
        <v>1430</v>
      </c>
      <c r="AX47" s="18" t="str">
        <f>VLOOKUP(AW47,FINALGRADES,3,TRUE)</f>
        <v>DMM</v>
      </c>
      <c r="AY47" s="10">
        <f>VLOOKUP(AW47,FINALGRADES,4,TRUE)</f>
        <v>280</v>
      </c>
      <c r="AZ47" s="11">
        <f>VLOOKUP(G47,TARGETPOINTS,2,FALSE)</f>
        <v>200</v>
      </c>
      <c r="BA47" s="11" t="str">
        <f t="shared" si="5"/>
        <v>Over</v>
      </c>
      <c r="BB47" s="10"/>
      <c r="BC47" s="11"/>
      <c r="BD47" s="11"/>
    </row>
    <row r="48" spans="1:56" ht="11.25" customHeight="1">
      <c r="A48" s="13">
        <v>3</v>
      </c>
      <c r="B48" s="13">
        <v>9271911</v>
      </c>
      <c r="C48" s="12" t="s">
        <v>117</v>
      </c>
      <c r="D48" s="12" t="s">
        <v>118</v>
      </c>
      <c r="E48" s="13" t="s">
        <v>21</v>
      </c>
      <c r="F48" s="14">
        <v>34083</v>
      </c>
      <c r="G48" s="13" t="s">
        <v>65</v>
      </c>
      <c r="H48" s="16" t="s">
        <v>25</v>
      </c>
      <c r="I48" s="15">
        <f>IF(ISBLANK(H48),0,VLOOKUP(H48,UNITGRADES,2,FALSE))</f>
        <v>90</v>
      </c>
      <c r="J48" s="16" t="s">
        <v>25</v>
      </c>
      <c r="K48" s="15">
        <f>IF(ISBLANK(J48),0,VLOOKUP(J48,UNITGRADES,2,FALSE))</f>
        <v>90</v>
      </c>
      <c r="L48" s="16" t="s">
        <v>25</v>
      </c>
      <c r="M48" s="15">
        <f>IF(ISBLANK(L48),0,VLOOKUP(L48,UNITGRADES,2,FALSE))</f>
        <v>90</v>
      </c>
      <c r="N48" s="16" t="s">
        <v>25</v>
      </c>
      <c r="O48" s="15">
        <f>IF(ISBLANK(N48),0,VLOOKUP(N48,UNITGRADES,2,FALSE))</f>
        <v>90</v>
      </c>
      <c r="P48" s="16" t="s">
        <v>23</v>
      </c>
      <c r="Q48" s="15">
        <f>IF(ISBLANK(P48),0,VLOOKUP(P48,UNITGRADES,2,FALSE))</f>
        <v>70</v>
      </c>
      <c r="R48" s="16" t="s">
        <v>24</v>
      </c>
      <c r="S48" s="15">
        <f>IF(ISBLANK(R48),0,VLOOKUP(R48,UNITGRADES,2,FALSE))</f>
        <v>80</v>
      </c>
      <c r="T48" s="16" t="s">
        <v>24</v>
      </c>
      <c r="U48" s="15">
        <f>IF(ISBLANK(T48),0,VLOOKUP(T48,UNITGRADES,2,FALSE))</f>
        <v>80</v>
      </c>
      <c r="V48" s="16" t="s">
        <v>24</v>
      </c>
      <c r="W48" s="15">
        <f>IF(ISBLANK(H48),0,VLOOKUP(H48,UNITGRADES,2,FALSE))</f>
        <v>90</v>
      </c>
      <c r="X48" s="16" t="s">
        <v>23</v>
      </c>
      <c r="Y48" s="15">
        <f>IF(ISBLANK(X48),0,VLOOKUP(X48,UNITGRADES,2,FALSE))</f>
        <v>70</v>
      </c>
      <c r="Z48" s="15">
        <f t="shared" si="0"/>
        <v>750</v>
      </c>
      <c r="AA48" s="15" t="str">
        <f>VLOOKUP(Z48*2,FINALGRADES,3,TRUE)</f>
        <v>DDD</v>
      </c>
      <c r="AB48" s="16" t="s">
        <v>25</v>
      </c>
      <c r="AC48" s="15">
        <f>IF(ISBLANK(AB48),0,VLOOKUP(AB48,UNITGRADES,2,FALSE))</f>
        <v>90</v>
      </c>
      <c r="AD48" s="16" t="s">
        <v>23</v>
      </c>
      <c r="AE48" s="15">
        <f>IF(ISBLANK(AD48),0,VLOOKUP(AD48,UNITGRADES,2,FALSE))</f>
        <v>70</v>
      </c>
      <c r="AF48" s="16" t="s">
        <v>25</v>
      </c>
      <c r="AG48" s="15">
        <f>IF(ISBLANK(AF48),0,VLOOKUP(AF48,UNITGRADES,2,FALSE))</f>
        <v>90</v>
      </c>
      <c r="AH48" s="16" t="s">
        <v>25</v>
      </c>
      <c r="AI48" s="15">
        <f>IF(ISBLANK(AH48),0,VLOOKUP(AH48,UNITGRADES,2,FALSE))</f>
        <v>90</v>
      </c>
      <c r="AJ48" s="16" t="s">
        <v>24</v>
      </c>
      <c r="AK48" s="15">
        <f>IF(ISBLANK(AJ48),0,VLOOKUP(AJ48,UNITGRADES,2,FALSE))</f>
        <v>80</v>
      </c>
      <c r="AL48" s="16" t="s">
        <v>25</v>
      </c>
      <c r="AM48" s="15">
        <f>IF(ISBLANK(AL48),0,VLOOKUP(AL48,UNITGRADES,2,FALSE))</f>
        <v>90</v>
      </c>
      <c r="AN48" s="16" t="s">
        <v>25</v>
      </c>
      <c r="AO48" s="15">
        <f>IF(ISBLANK(AN48),0,VLOOKUP(AN48,UNITGRADES,2,FALSE))</f>
        <v>90</v>
      </c>
      <c r="AP48" s="16" t="s">
        <v>24</v>
      </c>
      <c r="AQ48" s="15">
        <f>IF(ISBLANK(AP48),0,VLOOKUP(AP48,UNITGRADES,2,FALSE))</f>
        <v>80</v>
      </c>
      <c r="AR48" s="16" t="s">
        <v>25</v>
      </c>
      <c r="AS48" s="11">
        <f>IF(ISBLANK(AR48),0,VLOOKUP(AR48,UNITGRADES,2,FALSE))</f>
        <v>90</v>
      </c>
      <c r="AT48" s="13">
        <f t="shared" si="1"/>
        <v>3</v>
      </c>
      <c r="AU48" s="13">
        <f t="shared" si="2"/>
        <v>5</v>
      </c>
      <c r="AV48" s="13">
        <f t="shared" si="3"/>
        <v>10</v>
      </c>
      <c r="AW48" s="17">
        <f t="shared" si="4"/>
        <v>1430</v>
      </c>
      <c r="AX48" s="18" t="str">
        <f>VLOOKUP(AW48,FINALGRADES,3,TRUE)</f>
        <v>DMM</v>
      </c>
      <c r="AY48" s="10">
        <f>VLOOKUP(AW48,FINALGRADES,4,TRUE)</f>
        <v>280</v>
      </c>
      <c r="AZ48" s="11">
        <f>VLOOKUP(G48,TARGETPOINTS,2,FALSE)</f>
        <v>280</v>
      </c>
      <c r="BA48" s="11" t="str">
        <f t="shared" si="5"/>
        <v>Same</v>
      </c>
      <c r="BB48" s="10"/>
      <c r="BC48" s="11"/>
      <c r="BD48" s="11"/>
    </row>
    <row r="49" spans="1:56" ht="11.25" customHeight="1">
      <c r="A49" s="13">
        <v>3</v>
      </c>
      <c r="B49" s="13">
        <v>7385656</v>
      </c>
      <c r="C49" s="12" t="s">
        <v>119</v>
      </c>
      <c r="D49" s="12" t="s">
        <v>120</v>
      </c>
      <c r="E49" s="13" t="s">
        <v>21</v>
      </c>
      <c r="F49" s="14">
        <v>33872</v>
      </c>
      <c r="G49" s="13" t="s">
        <v>29</v>
      </c>
      <c r="H49" s="16" t="s">
        <v>25</v>
      </c>
      <c r="I49" s="15">
        <f>IF(ISBLANK(H49),0,VLOOKUP(H49,UNITGRADES,2,FALSE))</f>
        <v>90</v>
      </c>
      <c r="J49" s="16" t="s">
        <v>25</v>
      </c>
      <c r="K49" s="15">
        <f>IF(ISBLANK(J49),0,VLOOKUP(J49,UNITGRADES,2,FALSE))</f>
        <v>90</v>
      </c>
      <c r="L49" s="16" t="s">
        <v>24</v>
      </c>
      <c r="M49" s="15">
        <f>IF(ISBLANK(L49),0,VLOOKUP(L49,UNITGRADES,2,FALSE))</f>
        <v>80</v>
      </c>
      <c r="N49" s="16" t="s">
        <v>23</v>
      </c>
      <c r="O49" s="15">
        <f>IF(ISBLANK(N49),0,VLOOKUP(N49,UNITGRADES,2,FALSE))</f>
        <v>70</v>
      </c>
      <c r="P49" s="16" t="s">
        <v>23</v>
      </c>
      <c r="Q49" s="15">
        <f>IF(ISBLANK(P49),0,VLOOKUP(P49,UNITGRADES,2,FALSE))</f>
        <v>70</v>
      </c>
      <c r="R49" s="16" t="s">
        <v>25</v>
      </c>
      <c r="S49" s="15">
        <f>IF(ISBLANK(R49),0,VLOOKUP(R49,UNITGRADES,2,FALSE))</f>
        <v>90</v>
      </c>
      <c r="T49" s="16" t="s">
        <v>25</v>
      </c>
      <c r="U49" s="15">
        <f>IF(ISBLANK(T49),0,VLOOKUP(T49,UNITGRADES,2,FALSE))</f>
        <v>90</v>
      </c>
      <c r="V49" s="16" t="s">
        <v>24</v>
      </c>
      <c r="W49" s="15">
        <f>IF(ISBLANK(H49),0,VLOOKUP(H49,UNITGRADES,2,FALSE))</f>
        <v>90</v>
      </c>
      <c r="X49" s="16" t="s">
        <v>24</v>
      </c>
      <c r="Y49" s="15">
        <f>IF(ISBLANK(X49),0,VLOOKUP(X49,UNITGRADES,2,FALSE))</f>
        <v>80</v>
      </c>
      <c r="Z49" s="15">
        <f t="shared" si="0"/>
        <v>750</v>
      </c>
      <c r="AA49" s="15" t="str">
        <f>VLOOKUP(Z49*2,FINALGRADES,3,TRUE)</f>
        <v>DDD</v>
      </c>
      <c r="AB49" s="16" t="s">
        <v>25</v>
      </c>
      <c r="AC49" s="15">
        <f>IF(ISBLANK(AB49),0,VLOOKUP(AB49,UNITGRADES,2,FALSE))</f>
        <v>90</v>
      </c>
      <c r="AD49" s="16" t="s">
        <v>25</v>
      </c>
      <c r="AE49" s="15">
        <f>IF(ISBLANK(AD49),0,VLOOKUP(AD49,UNITGRADES,2,FALSE))</f>
        <v>90</v>
      </c>
      <c r="AF49" s="16" t="s">
        <v>24</v>
      </c>
      <c r="AG49" s="15">
        <f>IF(ISBLANK(AF49),0,VLOOKUP(AF49,UNITGRADES,2,FALSE))</f>
        <v>80</v>
      </c>
      <c r="AH49" s="16" t="s">
        <v>25</v>
      </c>
      <c r="AI49" s="15">
        <f>IF(ISBLANK(AH49),0,VLOOKUP(AH49,UNITGRADES,2,FALSE))</f>
        <v>90</v>
      </c>
      <c r="AJ49" s="16" t="s">
        <v>25</v>
      </c>
      <c r="AK49" s="15">
        <f>IF(ISBLANK(AJ49),0,VLOOKUP(AJ49,UNITGRADES,2,FALSE))</f>
        <v>90</v>
      </c>
      <c r="AL49" s="16" t="s">
        <v>24</v>
      </c>
      <c r="AM49" s="15">
        <f>IF(ISBLANK(AL49),0,VLOOKUP(AL49,UNITGRADES,2,FALSE))</f>
        <v>80</v>
      </c>
      <c r="AN49" s="16" t="s">
        <v>25</v>
      </c>
      <c r="AO49" s="15">
        <f>IF(ISBLANK(AN49),0,VLOOKUP(AN49,UNITGRADES,2,FALSE))</f>
        <v>90</v>
      </c>
      <c r="AP49" s="16" t="s">
        <v>25</v>
      </c>
      <c r="AQ49" s="15">
        <f>IF(ISBLANK(AP49),0,VLOOKUP(AP49,UNITGRADES,2,FALSE))</f>
        <v>90</v>
      </c>
      <c r="AR49" s="16" t="s">
        <v>23</v>
      </c>
      <c r="AS49" s="11">
        <f>IF(ISBLANK(AR49),0,VLOOKUP(AR49,UNITGRADES,2,FALSE))</f>
        <v>70</v>
      </c>
      <c r="AT49" s="13">
        <f t="shared" si="1"/>
        <v>3</v>
      </c>
      <c r="AU49" s="13">
        <f t="shared" si="2"/>
        <v>5</v>
      </c>
      <c r="AV49" s="13">
        <f t="shared" si="3"/>
        <v>10</v>
      </c>
      <c r="AW49" s="17">
        <f t="shared" si="4"/>
        <v>1450</v>
      </c>
      <c r="AX49" s="18" t="str">
        <f>VLOOKUP(AW49,FINALGRADES,3,TRUE)</f>
        <v>DMM</v>
      </c>
      <c r="AY49" s="10">
        <f>VLOOKUP(AW49,FINALGRADES,4,TRUE)</f>
        <v>280</v>
      </c>
      <c r="AZ49" s="11">
        <f>VLOOKUP(G49,TARGETPOINTS,2,FALSE)</f>
        <v>360</v>
      </c>
      <c r="BA49" s="11" t="str">
        <f t="shared" si="5"/>
        <v>Under</v>
      </c>
      <c r="BB49" s="10"/>
      <c r="BC49" s="11"/>
      <c r="BD49" s="11"/>
    </row>
    <row r="50" spans="1:56" ht="11.25" customHeight="1">
      <c r="A50" s="13">
        <v>3</v>
      </c>
      <c r="B50" s="13">
        <v>8669816</v>
      </c>
      <c r="C50" s="12" t="s">
        <v>121</v>
      </c>
      <c r="D50" s="12" t="s">
        <v>122</v>
      </c>
      <c r="E50" s="13" t="s">
        <v>24</v>
      </c>
      <c r="F50" s="14">
        <v>33492</v>
      </c>
      <c r="G50" s="13" t="s">
        <v>32</v>
      </c>
      <c r="H50" s="16" t="s">
        <v>23</v>
      </c>
      <c r="I50" s="15">
        <f>IF(ISBLANK(H50),0,VLOOKUP(H50,UNITGRADES,2,FALSE))</f>
        <v>70</v>
      </c>
      <c r="J50" s="16" t="s">
        <v>23</v>
      </c>
      <c r="K50" s="15">
        <f>IF(ISBLANK(J50),0,VLOOKUP(J50,UNITGRADES,2,FALSE))</f>
        <v>70</v>
      </c>
      <c r="L50" s="16" t="s">
        <v>24</v>
      </c>
      <c r="M50" s="15">
        <f>IF(ISBLANK(L50),0,VLOOKUP(L50,UNITGRADES,2,FALSE))</f>
        <v>80</v>
      </c>
      <c r="N50" s="16" t="s">
        <v>23</v>
      </c>
      <c r="O50" s="15">
        <f>IF(ISBLANK(N50),0,VLOOKUP(N50,UNITGRADES,2,FALSE))</f>
        <v>70</v>
      </c>
      <c r="P50" s="16" t="s">
        <v>25</v>
      </c>
      <c r="Q50" s="15">
        <f>IF(ISBLANK(P50),0,VLOOKUP(P50,UNITGRADES,2,FALSE))</f>
        <v>90</v>
      </c>
      <c r="R50" s="16" t="s">
        <v>24</v>
      </c>
      <c r="S50" s="15">
        <f>IF(ISBLANK(R50),0,VLOOKUP(R50,UNITGRADES,2,FALSE))</f>
        <v>80</v>
      </c>
      <c r="T50" s="16" t="s">
        <v>25</v>
      </c>
      <c r="U50" s="15">
        <f>IF(ISBLANK(T50),0,VLOOKUP(T50,UNITGRADES,2,FALSE))</f>
        <v>90</v>
      </c>
      <c r="V50" s="16" t="s">
        <v>25</v>
      </c>
      <c r="W50" s="15">
        <f>IF(ISBLANK(H50),0,VLOOKUP(H50,UNITGRADES,2,FALSE))</f>
        <v>70</v>
      </c>
      <c r="X50" s="16" t="s">
        <v>23</v>
      </c>
      <c r="Y50" s="15">
        <f>IF(ISBLANK(X50),0,VLOOKUP(X50,UNITGRADES,2,FALSE))</f>
        <v>70</v>
      </c>
      <c r="Z50" s="15">
        <f t="shared" si="0"/>
        <v>690</v>
      </c>
      <c r="AA50" s="15" t="str">
        <f>VLOOKUP(Z50*2,FINALGRADES,3,TRUE)</f>
        <v>MMM</v>
      </c>
      <c r="AB50" s="16" t="s">
        <v>23</v>
      </c>
      <c r="AC50" s="15">
        <f>IF(ISBLANK(AB50),0,VLOOKUP(AB50,UNITGRADES,2,FALSE))</f>
        <v>70</v>
      </c>
      <c r="AD50" s="16" t="s">
        <v>23</v>
      </c>
      <c r="AE50" s="15">
        <f>IF(ISBLANK(AD50),0,VLOOKUP(AD50,UNITGRADES,2,FALSE))</f>
        <v>70</v>
      </c>
      <c r="AF50" s="16" t="s">
        <v>23</v>
      </c>
      <c r="AG50" s="15">
        <f>IF(ISBLANK(AF50),0,VLOOKUP(AF50,UNITGRADES,2,FALSE))</f>
        <v>70</v>
      </c>
      <c r="AH50" s="16" t="s">
        <v>23</v>
      </c>
      <c r="AI50" s="15">
        <f>IF(ISBLANK(AH50),0,VLOOKUP(AH50,UNITGRADES,2,FALSE))</f>
        <v>70</v>
      </c>
      <c r="AJ50" s="16" t="s">
        <v>25</v>
      </c>
      <c r="AK50" s="15">
        <f>IF(ISBLANK(AJ50),0,VLOOKUP(AJ50,UNITGRADES,2,FALSE))</f>
        <v>90</v>
      </c>
      <c r="AL50" s="16" t="s">
        <v>24</v>
      </c>
      <c r="AM50" s="15">
        <f>IF(ISBLANK(AL50),0,VLOOKUP(AL50,UNITGRADES,2,FALSE))</f>
        <v>80</v>
      </c>
      <c r="AN50" s="16" t="s">
        <v>23</v>
      </c>
      <c r="AO50" s="15">
        <f>IF(ISBLANK(AN50),0,VLOOKUP(AN50,UNITGRADES,2,FALSE))</f>
        <v>70</v>
      </c>
      <c r="AP50" s="16" t="s">
        <v>23</v>
      </c>
      <c r="AQ50" s="15">
        <f>IF(ISBLANK(AP50),0,VLOOKUP(AP50,UNITGRADES,2,FALSE))</f>
        <v>70</v>
      </c>
      <c r="AR50" s="16" t="s">
        <v>24</v>
      </c>
      <c r="AS50" s="11">
        <f>IF(ISBLANK(AR50),0,VLOOKUP(AR50,UNITGRADES,2,FALSE))</f>
        <v>80</v>
      </c>
      <c r="AT50" s="13">
        <f t="shared" si="1"/>
        <v>10</v>
      </c>
      <c r="AU50" s="13">
        <f t="shared" si="2"/>
        <v>4</v>
      </c>
      <c r="AV50" s="13">
        <f t="shared" si="3"/>
        <v>4</v>
      </c>
      <c r="AW50" s="17">
        <f t="shared" si="4"/>
        <v>1280</v>
      </c>
      <c r="AX50" s="18" t="str">
        <f>VLOOKUP(AW50,FINALGRADES,3,TRUE)</f>
        <v>PPP</v>
      </c>
      <c r="AY50" s="10">
        <f>VLOOKUP(AW50,FINALGRADES,4,TRUE)</f>
        <v>120</v>
      </c>
      <c r="AZ50" s="11">
        <f>VLOOKUP(G50,TARGETPOINTS,2,FALSE)</f>
        <v>240</v>
      </c>
      <c r="BA50" s="11" t="str">
        <f t="shared" si="5"/>
        <v>Under</v>
      </c>
      <c r="BB50" s="10"/>
      <c r="BC50" s="11"/>
      <c r="BD50" s="11"/>
    </row>
    <row r="51" spans="1:56" ht="11.25" customHeight="1">
      <c r="A51" s="13">
        <v>4</v>
      </c>
      <c r="B51" s="13">
        <v>5142876</v>
      </c>
      <c r="C51" s="12" t="s">
        <v>123</v>
      </c>
      <c r="D51" s="12" t="s">
        <v>124</v>
      </c>
      <c r="E51" s="13" t="s">
        <v>24</v>
      </c>
      <c r="F51" s="14">
        <v>33496</v>
      </c>
      <c r="G51" s="13" t="s">
        <v>29</v>
      </c>
      <c r="H51" s="16" t="s">
        <v>23</v>
      </c>
      <c r="I51" s="15">
        <f>IF(ISBLANK(H51),0,VLOOKUP(H51,UNITGRADES,2,FALSE))</f>
        <v>70</v>
      </c>
      <c r="J51" s="16" t="s">
        <v>23</v>
      </c>
      <c r="K51" s="15">
        <f>IF(ISBLANK(J51),0,VLOOKUP(J51,UNITGRADES,2,FALSE))</f>
        <v>70</v>
      </c>
      <c r="L51" s="16" t="s">
        <v>25</v>
      </c>
      <c r="M51" s="15">
        <f>IF(ISBLANK(L51),0,VLOOKUP(L51,UNITGRADES,2,FALSE))</f>
        <v>90</v>
      </c>
      <c r="N51" s="16" t="s">
        <v>23</v>
      </c>
      <c r="O51" s="15">
        <f>IF(ISBLANK(N51),0,VLOOKUP(N51,UNITGRADES,2,FALSE))</f>
        <v>70</v>
      </c>
      <c r="P51" s="16" t="s">
        <v>23</v>
      </c>
      <c r="Q51" s="15">
        <f>IF(ISBLANK(P51),0,VLOOKUP(P51,UNITGRADES,2,FALSE))</f>
        <v>70</v>
      </c>
      <c r="R51" s="16" t="s">
        <v>25</v>
      </c>
      <c r="S51" s="15">
        <f>IF(ISBLANK(R51),0,VLOOKUP(R51,UNITGRADES,2,FALSE))</f>
        <v>90</v>
      </c>
      <c r="T51" s="16" t="s">
        <v>24</v>
      </c>
      <c r="U51" s="15">
        <f>IF(ISBLANK(T51),0,VLOOKUP(T51,UNITGRADES,2,FALSE))</f>
        <v>80</v>
      </c>
      <c r="V51" s="16" t="s">
        <v>23</v>
      </c>
      <c r="W51" s="15">
        <f>IF(ISBLANK(H51),0,VLOOKUP(H51,UNITGRADES,2,FALSE))</f>
        <v>70</v>
      </c>
      <c r="X51" s="16" t="s">
        <v>23</v>
      </c>
      <c r="Y51" s="15">
        <f>IF(ISBLANK(X51),0,VLOOKUP(X51,UNITGRADES,2,FALSE))</f>
        <v>70</v>
      </c>
      <c r="Z51" s="15">
        <f t="shared" si="0"/>
        <v>680</v>
      </c>
      <c r="AA51" s="15" t="str">
        <f>VLOOKUP(Z51*2,FINALGRADES,3,TRUE)</f>
        <v>MMP</v>
      </c>
      <c r="AB51" s="16" t="s">
        <v>23</v>
      </c>
      <c r="AC51" s="15">
        <f>IF(ISBLANK(AB51),0,VLOOKUP(AB51,UNITGRADES,2,FALSE))</f>
        <v>70</v>
      </c>
      <c r="AD51" s="16" t="s">
        <v>23</v>
      </c>
      <c r="AE51" s="15">
        <f>IF(ISBLANK(AD51),0,VLOOKUP(AD51,UNITGRADES,2,FALSE))</f>
        <v>70</v>
      </c>
      <c r="AF51" s="16" t="s">
        <v>24</v>
      </c>
      <c r="AG51" s="15">
        <f>IF(ISBLANK(AF51),0,VLOOKUP(AF51,UNITGRADES,2,FALSE))</f>
        <v>80</v>
      </c>
      <c r="AH51" s="16" t="s">
        <v>24</v>
      </c>
      <c r="AI51" s="15">
        <f>IF(ISBLANK(AH51),0,VLOOKUP(AH51,UNITGRADES,2,FALSE))</f>
        <v>80</v>
      </c>
      <c r="AJ51" s="16" t="s">
        <v>23</v>
      </c>
      <c r="AK51" s="15">
        <f>IF(ISBLANK(AJ51),0,VLOOKUP(AJ51,UNITGRADES,2,FALSE))</f>
        <v>70</v>
      </c>
      <c r="AL51" s="16" t="s">
        <v>24</v>
      </c>
      <c r="AM51" s="15">
        <f>IF(ISBLANK(AL51),0,VLOOKUP(AL51,UNITGRADES,2,FALSE))</f>
        <v>80</v>
      </c>
      <c r="AN51" s="16" t="s">
        <v>25</v>
      </c>
      <c r="AO51" s="15">
        <f>IF(ISBLANK(AN51),0,VLOOKUP(AN51,UNITGRADES,2,FALSE))</f>
        <v>90</v>
      </c>
      <c r="AP51" s="16" t="s">
        <v>25</v>
      </c>
      <c r="AQ51" s="15">
        <f>IF(ISBLANK(AP51),0,VLOOKUP(AP51,UNITGRADES,2,FALSE))</f>
        <v>90</v>
      </c>
      <c r="AR51" s="16" t="s">
        <v>25</v>
      </c>
      <c r="AS51" s="11">
        <f>IF(ISBLANK(AR51),0,VLOOKUP(AR51,UNITGRADES,2,FALSE))</f>
        <v>90</v>
      </c>
      <c r="AT51" s="13">
        <f t="shared" si="1"/>
        <v>9</v>
      </c>
      <c r="AU51" s="13">
        <f t="shared" si="2"/>
        <v>4</v>
      </c>
      <c r="AV51" s="13">
        <f t="shared" si="3"/>
        <v>5</v>
      </c>
      <c r="AW51" s="17">
        <f t="shared" si="4"/>
        <v>1310</v>
      </c>
      <c r="AX51" s="18" t="str">
        <f>VLOOKUP(AW51,FINALGRADES,3,TRUE)</f>
        <v>MPP</v>
      </c>
      <c r="AY51" s="10">
        <f>VLOOKUP(AW51,FINALGRADES,4,TRUE)</f>
        <v>160</v>
      </c>
      <c r="AZ51" s="11">
        <f>VLOOKUP(G51,TARGETPOINTS,2,FALSE)</f>
        <v>360</v>
      </c>
      <c r="BA51" s="11" t="str">
        <f t="shared" si="5"/>
        <v>Under</v>
      </c>
      <c r="BB51" s="10"/>
      <c r="BC51" s="11"/>
      <c r="BD51" s="11"/>
    </row>
    <row r="52" spans="1:56" ht="11.25" customHeight="1">
      <c r="A52" s="13">
        <v>4</v>
      </c>
      <c r="B52" s="13">
        <v>8789151</v>
      </c>
      <c r="C52" s="12" t="s">
        <v>19</v>
      </c>
      <c r="D52" s="12" t="s">
        <v>125</v>
      </c>
      <c r="E52" s="13" t="s">
        <v>24</v>
      </c>
      <c r="F52" s="14">
        <v>33905</v>
      </c>
      <c r="G52" s="13" t="s">
        <v>22</v>
      </c>
      <c r="H52" s="16" t="s">
        <v>24</v>
      </c>
      <c r="I52" s="15">
        <f>IF(ISBLANK(H52),0,VLOOKUP(H52,UNITGRADES,2,FALSE))</f>
        <v>80</v>
      </c>
      <c r="J52" s="16" t="s">
        <v>24</v>
      </c>
      <c r="K52" s="15">
        <f>IF(ISBLANK(J52),0,VLOOKUP(J52,UNITGRADES,2,FALSE))</f>
        <v>80</v>
      </c>
      <c r="L52" s="16" t="s">
        <v>23</v>
      </c>
      <c r="M52" s="15">
        <f>IF(ISBLANK(L52),0,VLOOKUP(L52,UNITGRADES,2,FALSE))</f>
        <v>70</v>
      </c>
      <c r="N52" s="16" t="s">
        <v>23</v>
      </c>
      <c r="O52" s="15">
        <f>IF(ISBLANK(N52),0,VLOOKUP(N52,UNITGRADES,2,FALSE))</f>
        <v>70</v>
      </c>
      <c r="P52" s="16" t="s">
        <v>23</v>
      </c>
      <c r="Q52" s="15">
        <f>IF(ISBLANK(P52),0,VLOOKUP(P52,UNITGRADES,2,FALSE))</f>
        <v>70</v>
      </c>
      <c r="R52" s="16" t="s">
        <v>24</v>
      </c>
      <c r="S52" s="15">
        <f>IF(ISBLANK(R52),0,VLOOKUP(R52,UNITGRADES,2,FALSE))</f>
        <v>80</v>
      </c>
      <c r="T52" s="16" t="s">
        <v>24</v>
      </c>
      <c r="U52" s="15">
        <f>IF(ISBLANK(T52),0,VLOOKUP(T52,UNITGRADES,2,FALSE))</f>
        <v>80</v>
      </c>
      <c r="V52" s="16" t="s">
        <v>23</v>
      </c>
      <c r="W52" s="15">
        <f>IF(ISBLANK(H52),0,VLOOKUP(H52,UNITGRADES,2,FALSE))</f>
        <v>80</v>
      </c>
      <c r="X52" s="16" t="s">
        <v>23</v>
      </c>
      <c r="Y52" s="15">
        <f>IF(ISBLANK(X52),0,VLOOKUP(X52,UNITGRADES,2,FALSE))</f>
        <v>70</v>
      </c>
      <c r="Z52" s="15">
        <f t="shared" si="0"/>
        <v>680</v>
      </c>
      <c r="AA52" s="15" t="str">
        <f>VLOOKUP(Z52*2,FINALGRADES,3,TRUE)</f>
        <v>MMP</v>
      </c>
      <c r="AB52" s="16" t="s">
        <v>25</v>
      </c>
      <c r="AC52" s="15">
        <f>IF(ISBLANK(AB52),0,VLOOKUP(AB52,UNITGRADES,2,FALSE))</f>
        <v>90</v>
      </c>
      <c r="AD52" s="16" t="s">
        <v>23</v>
      </c>
      <c r="AE52" s="15">
        <f>IF(ISBLANK(AD52),0,VLOOKUP(AD52,UNITGRADES,2,FALSE))</f>
        <v>70</v>
      </c>
      <c r="AF52" s="16" t="s">
        <v>24</v>
      </c>
      <c r="AG52" s="15">
        <f>IF(ISBLANK(AF52),0,VLOOKUP(AF52,UNITGRADES,2,FALSE))</f>
        <v>80</v>
      </c>
      <c r="AH52" s="16" t="s">
        <v>24</v>
      </c>
      <c r="AI52" s="15">
        <f>IF(ISBLANK(AH52),0,VLOOKUP(AH52,UNITGRADES,2,FALSE))</f>
        <v>80</v>
      </c>
      <c r="AJ52" s="16" t="s">
        <v>23</v>
      </c>
      <c r="AK52" s="15">
        <f>IF(ISBLANK(AJ52),0,VLOOKUP(AJ52,UNITGRADES,2,FALSE))</f>
        <v>70</v>
      </c>
      <c r="AL52" s="16" t="s">
        <v>23</v>
      </c>
      <c r="AM52" s="15">
        <f>IF(ISBLANK(AL52),0,VLOOKUP(AL52,UNITGRADES,2,FALSE))</f>
        <v>70</v>
      </c>
      <c r="AN52" s="16" t="s">
        <v>24</v>
      </c>
      <c r="AO52" s="15">
        <f>IF(ISBLANK(AN52),0,VLOOKUP(AN52,UNITGRADES,2,FALSE))</f>
        <v>80</v>
      </c>
      <c r="AP52" s="16" t="s">
        <v>25</v>
      </c>
      <c r="AQ52" s="15">
        <f>IF(ISBLANK(AP52),0,VLOOKUP(AP52,UNITGRADES,2,FALSE))</f>
        <v>90</v>
      </c>
      <c r="AR52" s="16" t="s">
        <v>25</v>
      </c>
      <c r="AS52" s="11">
        <f>IF(ISBLANK(AR52),0,VLOOKUP(AR52,UNITGRADES,2,FALSE))</f>
        <v>90</v>
      </c>
      <c r="AT52" s="13">
        <f t="shared" si="1"/>
        <v>8</v>
      </c>
      <c r="AU52" s="13">
        <f t="shared" si="2"/>
        <v>7</v>
      </c>
      <c r="AV52" s="13">
        <f t="shared" si="3"/>
        <v>3</v>
      </c>
      <c r="AW52" s="17">
        <f t="shared" si="4"/>
        <v>1310</v>
      </c>
      <c r="AX52" s="18" t="str">
        <f>VLOOKUP(AW52,FINALGRADES,3,TRUE)</f>
        <v>MPP</v>
      </c>
      <c r="AY52" s="10">
        <f>VLOOKUP(AW52,FINALGRADES,4,TRUE)</f>
        <v>160</v>
      </c>
      <c r="AZ52" s="11">
        <f>VLOOKUP(G52,TARGETPOINTS,2,FALSE)</f>
        <v>160</v>
      </c>
      <c r="BA52" s="11" t="str">
        <f t="shared" si="5"/>
        <v>Same</v>
      </c>
      <c r="BB52" s="10"/>
      <c r="BC52" s="11"/>
      <c r="BD52" s="11"/>
    </row>
    <row r="53" spans="1:56" ht="11.25" customHeight="1">
      <c r="A53" s="13">
        <v>1</v>
      </c>
      <c r="B53" s="13">
        <v>6809221</v>
      </c>
      <c r="C53" s="12" t="s">
        <v>126</v>
      </c>
      <c r="D53" s="12" t="s">
        <v>127</v>
      </c>
      <c r="E53" s="13" t="s">
        <v>24</v>
      </c>
      <c r="F53" s="14">
        <v>33925</v>
      </c>
      <c r="G53" s="13" t="s">
        <v>70</v>
      </c>
      <c r="H53" s="16" t="s">
        <v>23</v>
      </c>
      <c r="I53" s="15">
        <f>IF(ISBLANK(H53),0,VLOOKUP(H53,UNITGRADES,2,FALSE))</f>
        <v>70</v>
      </c>
      <c r="J53" s="16" t="s">
        <v>25</v>
      </c>
      <c r="K53" s="15">
        <f>IF(ISBLANK(J53),0,VLOOKUP(J53,UNITGRADES,2,FALSE))</f>
        <v>90</v>
      </c>
      <c r="L53" s="16" t="s">
        <v>23</v>
      </c>
      <c r="M53" s="15">
        <f>IF(ISBLANK(L53),0,VLOOKUP(L53,UNITGRADES,2,FALSE))</f>
        <v>70</v>
      </c>
      <c r="N53" s="16" t="s">
        <v>24</v>
      </c>
      <c r="O53" s="15">
        <f>IF(ISBLANK(N53),0,VLOOKUP(N53,UNITGRADES,2,FALSE))</f>
        <v>80</v>
      </c>
      <c r="P53" s="16" t="s">
        <v>23</v>
      </c>
      <c r="Q53" s="15">
        <f>IF(ISBLANK(P53),0,VLOOKUP(P53,UNITGRADES,2,FALSE))</f>
        <v>70</v>
      </c>
      <c r="R53" s="16" t="s">
        <v>25</v>
      </c>
      <c r="S53" s="15">
        <f>IF(ISBLANK(R53),0,VLOOKUP(R53,UNITGRADES,2,FALSE))</f>
        <v>90</v>
      </c>
      <c r="T53" s="16" t="s">
        <v>24</v>
      </c>
      <c r="U53" s="15">
        <f>IF(ISBLANK(T53),0,VLOOKUP(T53,UNITGRADES,2,FALSE))</f>
        <v>80</v>
      </c>
      <c r="V53" s="16" t="s">
        <v>25</v>
      </c>
      <c r="W53" s="15">
        <f>IF(ISBLANK(H53),0,VLOOKUP(H53,UNITGRADES,2,FALSE))</f>
        <v>70</v>
      </c>
      <c r="X53" s="16" t="s">
        <v>24</v>
      </c>
      <c r="Y53" s="15">
        <f>IF(ISBLANK(X53),0,VLOOKUP(X53,UNITGRADES,2,FALSE))</f>
        <v>80</v>
      </c>
      <c r="Z53" s="15">
        <f t="shared" si="0"/>
        <v>700</v>
      </c>
      <c r="AA53" s="15" t="str">
        <f>VLOOKUP(Z53*2,FINALGRADES,3,TRUE)</f>
        <v>MMM</v>
      </c>
      <c r="AB53" s="16" t="s">
        <v>24</v>
      </c>
      <c r="AC53" s="15">
        <f>IF(ISBLANK(AB53),0,VLOOKUP(AB53,UNITGRADES,2,FALSE))</f>
        <v>80</v>
      </c>
      <c r="AD53" s="16" t="s">
        <v>23</v>
      </c>
      <c r="AE53" s="15">
        <f>IF(ISBLANK(AD53),0,VLOOKUP(AD53,UNITGRADES,2,FALSE))</f>
        <v>70</v>
      </c>
      <c r="AF53" s="16" t="s">
        <v>24</v>
      </c>
      <c r="AG53" s="15">
        <f>IF(ISBLANK(AF53),0,VLOOKUP(AF53,UNITGRADES,2,FALSE))</f>
        <v>80</v>
      </c>
      <c r="AH53" s="16" t="s">
        <v>23</v>
      </c>
      <c r="AI53" s="15">
        <f>IF(ISBLANK(AH53),0,VLOOKUP(AH53,UNITGRADES,2,FALSE))</f>
        <v>70</v>
      </c>
      <c r="AJ53" s="16" t="s">
        <v>23</v>
      </c>
      <c r="AK53" s="15">
        <f>IF(ISBLANK(AJ53),0,VLOOKUP(AJ53,UNITGRADES,2,FALSE))</f>
        <v>70</v>
      </c>
      <c r="AL53" s="16" t="s">
        <v>25</v>
      </c>
      <c r="AM53" s="15">
        <f>IF(ISBLANK(AL53),0,VLOOKUP(AL53,UNITGRADES,2,FALSE))</f>
        <v>90</v>
      </c>
      <c r="AN53" s="16" t="s">
        <v>25</v>
      </c>
      <c r="AO53" s="15">
        <f>IF(ISBLANK(AN53),0,VLOOKUP(AN53,UNITGRADES,2,FALSE))</f>
        <v>90</v>
      </c>
      <c r="AP53" s="16" t="s">
        <v>23</v>
      </c>
      <c r="AQ53" s="15">
        <f>IF(ISBLANK(AP53),0,VLOOKUP(AP53,UNITGRADES,2,FALSE))</f>
        <v>70</v>
      </c>
      <c r="AR53" s="16" t="s">
        <v>23</v>
      </c>
      <c r="AS53" s="11">
        <f>IF(ISBLANK(AR53),0,VLOOKUP(AR53,UNITGRADES,2,FALSE))</f>
        <v>70</v>
      </c>
      <c r="AT53" s="13">
        <f t="shared" si="1"/>
        <v>8</v>
      </c>
      <c r="AU53" s="13">
        <f t="shared" si="2"/>
        <v>5</v>
      </c>
      <c r="AV53" s="13">
        <f t="shared" si="3"/>
        <v>5</v>
      </c>
      <c r="AW53" s="17">
        <f t="shared" si="4"/>
        <v>1320</v>
      </c>
      <c r="AX53" s="18" t="str">
        <f>VLOOKUP(AW53,FINALGRADES,3,TRUE)</f>
        <v>MPP</v>
      </c>
      <c r="AY53" s="10">
        <f>VLOOKUP(AW53,FINALGRADES,4,TRUE)</f>
        <v>160</v>
      </c>
      <c r="AZ53" s="11">
        <f>VLOOKUP(G53,TARGETPOINTS,2,FALSE)</f>
        <v>320</v>
      </c>
      <c r="BA53" s="11" t="str">
        <f t="shared" si="5"/>
        <v>Under</v>
      </c>
      <c r="BB53" s="10"/>
      <c r="BC53" s="11"/>
      <c r="BD53" s="11"/>
    </row>
    <row r="54" spans="1:56" ht="11.25" customHeight="1">
      <c r="A54" s="13">
        <v>3</v>
      </c>
      <c r="B54" s="13">
        <v>8507096</v>
      </c>
      <c r="C54" s="12" t="s">
        <v>128</v>
      </c>
      <c r="D54" s="12" t="s">
        <v>129</v>
      </c>
      <c r="E54" s="13" t="s">
        <v>24</v>
      </c>
      <c r="F54" s="14">
        <v>33791</v>
      </c>
      <c r="G54" s="13" t="s">
        <v>50</v>
      </c>
      <c r="H54" s="16" t="s">
        <v>24</v>
      </c>
      <c r="I54" s="15">
        <f>IF(ISBLANK(H54),0,VLOOKUP(H54,UNITGRADES,2,FALSE))</f>
        <v>80</v>
      </c>
      <c r="J54" s="16" t="s">
        <v>24</v>
      </c>
      <c r="K54" s="15">
        <f>IF(ISBLANK(J54),0,VLOOKUP(J54,UNITGRADES,2,FALSE))</f>
        <v>80</v>
      </c>
      <c r="L54" s="16" t="s">
        <v>23</v>
      </c>
      <c r="M54" s="15">
        <f>IF(ISBLANK(L54),0,VLOOKUP(L54,UNITGRADES,2,FALSE))</f>
        <v>70</v>
      </c>
      <c r="N54" s="16" t="s">
        <v>25</v>
      </c>
      <c r="O54" s="15">
        <f>IF(ISBLANK(N54),0,VLOOKUP(N54,UNITGRADES,2,FALSE))</f>
        <v>90</v>
      </c>
      <c r="P54" s="16" t="s">
        <v>24</v>
      </c>
      <c r="Q54" s="15">
        <f>IF(ISBLANK(P54),0,VLOOKUP(P54,UNITGRADES,2,FALSE))</f>
        <v>80</v>
      </c>
      <c r="R54" s="16" t="s">
        <v>23</v>
      </c>
      <c r="S54" s="15">
        <f>IF(ISBLANK(R54),0,VLOOKUP(R54,UNITGRADES,2,FALSE))</f>
        <v>70</v>
      </c>
      <c r="T54" s="16" t="s">
        <v>24</v>
      </c>
      <c r="U54" s="15">
        <f>IF(ISBLANK(T54),0,VLOOKUP(T54,UNITGRADES,2,FALSE))</f>
        <v>80</v>
      </c>
      <c r="V54" s="16" t="s">
        <v>24</v>
      </c>
      <c r="W54" s="15">
        <f>IF(ISBLANK(H54),0,VLOOKUP(H54,UNITGRADES,2,FALSE))</f>
        <v>80</v>
      </c>
      <c r="X54" s="16" t="s">
        <v>25</v>
      </c>
      <c r="Y54" s="15">
        <f>IF(ISBLANK(X54),0,VLOOKUP(X54,UNITGRADES,2,FALSE))</f>
        <v>90</v>
      </c>
      <c r="Z54" s="15">
        <f t="shared" si="0"/>
        <v>720</v>
      </c>
      <c r="AA54" s="15" t="str">
        <f>VLOOKUP(Z54*2,FINALGRADES,3,TRUE)</f>
        <v>DMM</v>
      </c>
      <c r="AB54" s="16" t="s">
        <v>23</v>
      </c>
      <c r="AC54" s="15">
        <f>IF(ISBLANK(AB54),0,VLOOKUP(AB54,UNITGRADES,2,FALSE))</f>
        <v>70</v>
      </c>
      <c r="AD54" s="16" t="s">
        <v>23</v>
      </c>
      <c r="AE54" s="15">
        <f>IF(ISBLANK(AD54),0,VLOOKUP(AD54,UNITGRADES,2,FALSE))</f>
        <v>70</v>
      </c>
      <c r="AF54" s="16" t="s">
        <v>24</v>
      </c>
      <c r="AG54" s="15">
        <f>IF(ISBLANK(AF54),0,VLOOKUP(AF54,UNITGRADES,2,FALSE))</f>
        <v>80</v>
      </c>
      <c r="AH54" s="16" t="s">
        <v>23</v>
      </c>
      <c r="AI54" s="15">
        <f>IF(ISBLANK(AH54),0,VLOOKUP(AH54,UNITGRADES,2,FALSE))</f>
        <v>70</v>
      </c>
      <c r="AJ54" s="16" t="s">
        <v>23</v>
      </c>
      <c r="AK54" s="15">
        <f>IF(ISBLANK(AJ54),0,VLOOKUP(AJ54,UNITGRADES,2,FALSE))</f>
        <v>70</v>
      </c>
      <c r="AL54" s="16" t="s">
        <v>23</v>
      </c>
      <c r="AM54" s="15">
        <f>IF(ISBLANK(AL54),0,VLOOKUP(AL54,UNITGRADES,2,FALSE))</f>
        <v>70</v>
      </c>
      <c r="AN54" s="16" t="s">
        <v>25</v>
      </c>
      <c r="AO54" s="15">
        <f>IF(ISBLANK(AN54),0,VLOOKUP(AN54,UNITGRADES,2,FALSE))</f>
        <v>90</v>
      </c>
      <c r="AP54" s="16" t="s">
        <v>24</v>
      </c>
      <c r="AQ54" s="15">
        <f>IF(ISBLANK(AP54),0,VLOOKUP(AP54,UNITGRADES,2,FALSE))</f>
        <v>80</v>
      </c>
      <c r="AR54" s="16" t="s">
        <v>25</v>
      </c>
      <c r="AS54" s="11">
        <f>IF(ISBLANK(AR54),0,VLOOKUP(AR54,UNITGRADES,2,FALSE))</f>
        <v>90</v>
      </c>
      <c r="AT54" s="13">
        <f t="shared" si="1"/>
        <v>7</v>
      </c>
      <c r="AU54" s="13">
        <f t="shared" si="2"/>
        <v>7</v>
      </c>
      <c r="AV54" s="13">
        <f t="shared" si="3"/>
        <v>4</v>
      </c>
      <c r="AW54" s="17">
        <f t="shared" si="4"/>
        <v>1320</v>
      </c>
      <c r="AX54" s="18" t="str">
        <f>VLOOKUP(AW54,FINALGRADES,3,TRUE)</f>
        <v>MPP</v>
      </c>
      <c r="AY54" s="10">
        <f>VLOOKUP(AW54,FINALGRADES,4,TRUE)</f>
        <v>160</v>
      </c>
      <c r="AZ54" s="11">
        <f>VLOOKUP(G54,TARGETPOINTS,2,FALSE)</f>
        <v>200</v>
      </c>
      <c r="BA54" s="11" t="str">
        <f t="shared" si="5"/>
        <v>Under</v>
      </c>
      <c r="BB54" s="10"/>
      <c r="BC54" s="11"/>
      <c r="BD54" s="11"/>
    </row>
    <row r="55" spans="1:56" ht="11.25" customHeight="1">
      <c r="A55" s="13">
        <v>3</v>
      </c>
      <c r="B55" s="13">
        <v>7784709</v>
      </c>
      <c r="C55" s="12" t="s">
        <v>130</v>
      </c>
      <c r="D55" s="12" t="s">
        <v>131</v>
      </c>
      <c r="E55" s="13" t="s">
        <v>24</v>
      </c>
      <c r="F55" s="14">
        <v>33028</v>
      </c>
      <c r="G55" s="13" t="s">
        <v>50</v>
      </c>
      <c r="H55" s="16" t="s">
        <v>23</v>
      </c>
      <c r="I55" s="15">
        <f>IF(ISBLANK(H55),0,VLOOKUP(H55,UNITGRADES,2,FALSE))</f>
        <v>70</v>
      </c>
      <c r="J55" s="16" t="s">
        <v>23</v>
      </c>
      <c r="K55" s="15">
        <f>IF(ISBLANK(J55),0,VLOOKUP(J55,UNITGRADES,2,FALSE))</f>
        <v>70</v>
      </c>
      <c r="L55" s="16" t="s">
        <v>25</v>
      </c>
      <c r="M55" s="15">
        <f>IF(ISBLANK(L55),0,VLOOKUP(L55,UNITGRADES,2,FALSE))</f>
        <v>90</v>
      </c>
      <c r="N55" s="16" t="s">
        <v>25</v>
      </c>
      <c r="O55" s="15">
        <f>IF(ISBLANK(N55),0,VLOOKUP(N55,UNITGRADES,2,FALSE))</f>
        <v>90</v>
      </c>
      <c r="P55" s="16" t="s">
        <v>23</v>
      </c>
      <c r="Q55" s="15">
        <f>IF(ISBLANK(P55),0,VLOOKUP(P55,UNITGRADES,2,FALSE))</f>
        <v>70</v>
      </c>
      <c r="R55" s="16" t="s">
        <v>23</v>
      </c>
      <c r="S55" s="15">
        <f>IF(ISBLANK(R55),0,VLOOKUP(R55,UNITGRADES,2,FALSE))</f>
        <v>70</v>
      </c>
      <c r="T55" s="16" t="s">
        <v>24</v>
      </c>
      <c r="U55" s="15">
        <f>IF(ISBLANK(T55),0,VLOOKUP(T55,UNITGRADES,2,FALSE))</f>
        <v>80</v>
      </c>
      <c r="V55" s="16" t="s">
        <v>23</v>
      </c>
      <c r="W55" s="15">
        <f>IF(ISBLANK(H55),0,VLOOKUP(H55,UNITGRADES,2,FALSE))</f>
        <v>70</v>
      </c>
      <c r="X55" s="16" t="s">
        <v>23</v>
      </c>
      <c r="Y55" s="15">
        <f>IF(ISBLANK(X55),0,VLOOKUP(X55,UNITGRADES,2,FALSE))</f>
        <v>70</v>
      </c>
      <c r="Z55" s="15">
        <f t="shared" si="0"/>
        <v>680</v>
      </c>
      <c r="AA55" s="15" t="str">
        <f>VLOOKUP(Z55*2,FINALGRADES,3,TRUE)</f>
        <v>MMP</v>
      </c>
      <c r="AB55" s="16" t="s">
        <v>25</v>
      </c>
      <c r="AC55" s="15">
        <f>IF(ISBLANK(AB55),0,VLOOKUP(AB55,UNITGRADES,2,FALSE))</f>
        <v>90</v>
      </c>
      <c r="AD55" s="16" t="s">
        <v>23</v>
      </c>
      <c r="AE55" s="15">
        <f>IF(ISBLANK(AD55),0,VLOOKUP(AD55,UNITGRADES,2,FALSE))</f>
        <v>70</v>
      </c>
      <c r="AF55" s="16" t="s">
        <v>24</v>
      </c>
      <c r="AG55" s="15">
        <f>IF(ISBLANK(AF55),0,VLOOKUP(AF55,UNITGRADES,2,FALSE))</f>
        <v>80</v>
      </c>
      <c r="AH55" s="16" t="s">
        <v>25</v>
      </c>
      <c r="AI55" s="15">
        <f>IF(ISBLANK(AH55),0,VLOOKUP(AH55,UNITGRADES,2,FALSE))</f>
        <v>90</v>
      </c>
      <c r="AJ55" s="16" t="s">
        <v>24</v>
      </c>
      <c r="AK55" s="15">
        <f>IF(ISBLANK(AJ55),0,VLOOKUP(AJ55,UNITGRADES,2,FALSE))</f>
        <v>80</v>
      </c>
      <c r="AL55" s="16" t="s">
        <v>23</v>
      </c>
      <c r="AM55" s="15">
        <f>IF(ISBLANK(AL55),0,VLOOKUP(AL55,UNITGRADES,2,FALSE))</f>
        <v>70</v>
      </c>
      <c r="AN55" s="16" t="s">
        <v>23</v>
      </c>
      <c r="AO55" s="15">
        <f>IF(ISBLANK(AN55),0,VLOOKUP(AN55,UNITGRADES,2,FALSE))</f>
        <v>70</v>
      </c>
      <c r="AP55" s="16" t="s">
        <v>25</v>
      </c>
      <c r="AQ55" s="15">
        <f>IF(ISBLANK(AP55),0,VLOOKUP(AP55,UNITGRADES,2,FALSE))</f>
        <v>90</v>
      </c>
      <c r="AR55" s="16" t="s">
        <v>23</v>
      </c>
      <c r="AS55" s="11">
        <f>IF(ISBLANK(AR55),0,VLOOKUP(AR55,UNITGRADES,2,FALSE))</f>
        <v>70</v>
      </c>
      <c r="AT55" s="13">
        <f t="shared" si="1"/>
        <v>10</v>
      </c>
      <c r="AU55" s="13">
        <f t="shared" si="2"/>
        <v>3</v>
      </c>
      <c r="AV55" s="13">
        <f t="shared" si="3"/>
        <v>5</v>
      </c>
      <c r="AW55" s="17">
        <f t="shared" si="4"/>
        <v>1320</v>
      </c>
      <c r="AX55" s="18" t="str">
        <f>VLOOKUP(AW55,FINALGRADES,3,TRUE)</f>
        <v>MPP</v>
      </c>
      <c r="AY55" s="10">
        <f>VLOOKUP(AW55,FINALGRADES,4,TRUE)</f>
        <v>160</v>
      </c>
      <c r="AZ55" s="11">
        <f>VLOOKUP(G55,TARGETPOINTS,2,FALSE)</f>
        <v>200</v>
      </c>
      <c r="BA55" s="11" t="str">
        <f t="shared" si="5"/>
        <v>Under</v>
      </c>
      <c r="BB55" s="10"/>
      <c r="BC55" s="11"/>
      <c r="BD55" s="11"/>
    </row>
    <row r="56" spans="1:56" ht="11.25" customHeight="1">
      <c r="A56" s="13">
        <v>4</v>
      </c>
      <c r="B56" s="13">
        <v>9298255</v>
      </c>
      <c r="C56" s="12" t="s">
        <v>132</v>
      </c>
      <c r="D56" s="12" t="s">
        <v>133</v>
      </c>
      <c r="E56" s="13" t="s">
        <v>24</v>
      </c>
      <c r="F56" s="14">
        <v>33962</v>
      </c>
      <c r="G56" s="13" t="s">
        <v>50</v>
      </c>
      <c r="H56" s="16" t="s">
        <v>24</v>
      </c>
      <c r="I56" s="15">
        <f>IF(ISBLANK(H56),0,VLOOKUP(H56,UNITGRADES,2,FALSE))</f>
        <v>80</v>
      </c>
      <c r="J56" s="16" t="s">
        <v>25</v>
      </c>
      <c r="K56" s="15">
        <f>IF(ISBLANK(J56),0,VLOOKUP(J56,UNITGRADES,2,FALSE))</f>
        <v>90</v>
      </c>
      <c r="L56" s="16" t="s">
        <v>23</v>
      </c>
      <c r="M56" s="15">
        <f>IF(ISBLANK(L56),0,VLOOKUP(L56,UNITGRADES,2,FALSE))</f>
        <v>70</v>
      </c>
      <c r="N56" s="16" t="s">
        <v>24</v>
      </c>
      <c r="O56" s="15">
        <f>IF(ISBLANK(N56),0,VLOOKUP(N56,UNITGRADES,2,FALSE))</f>
        <v>80</v>
      </c>
      <c r="P56" s="16" t="s">
        <v>25</v>
      </c>
      <c r="Q56" s="15">
        <f>IF(ISBLANK(P56),0,VLOOKUP(P56,UNITGRADES,2,FALSE))</f>
        <v>90</v>
      </c>
      <c r="R56" s="16" t="s">
        <v>23</v>
      </c>
      <c r="S56" s="15">
        <f>IF(ISBLANK(R56),0,VLOOKUP(R56,UNITGRADES,2,FALSE))</f>
        <v>70</v>
      </c>
      <c r="T56" s="16" t="s">
        <v>25</v>
      </c>
      <c r="U56" s="15">
        <f>IF(ISBLANK(T56),0,VLOOKUP(T56,UNITGRADES,2,FALSE))</f>
        <v>90</v>
      </c>
      <c r="V56" s="16" t="s">
        <v>24</v>
      </c>
      <c r="W56" s="15">
        <f>IF(ISBLANK(H56),0,VLOOKUP(H56,UNITGRADES,2,FALSE))</f>
        <v>80</v>
      </c>
      <c r="X56" s="16" t="s">
        <v>23</v>
      </c>
      <c r="Y56" s="15">
        <f>IF(ISBLANK(X56),0,VLOOKUP(X56,UNITGRADES,2,FALSE))</f>
        <v>70</v>
      </c>
      <c r="Z56" s="15">
        <f t="shared" si="0"/>
        <v>720</v>
      </c>
      <c r="AA56" s="15" t="str">
        <f>VLOOKUP(Z56*2,FINALGRADES,3,TRUE)</f>
        <v>DMM</v>
      </c>
      <c r="AB56" s="16" t="s">
        <v>23</v>
      </c>
      <c r="AC56" s="15">
        <f>IF(ISBLANK(AB56),0,VLOOKUP(AB56,UNITGRADES,2,FALSE))</f>
        <v>70</v>
      </c>
      <c r="AD56" s="16" t="s">
        <v>23</v>
      </c>
      <c r="AE56" s="15">
        <f>IF(ISBLANK(AD56),0,VLOOKUP(AD56,UNITGRADES,2,FALSE))</f>
        <v>70</v>
      </c>
      <c r="AF56" s="16" t="s">
        <v>24</v>
      </c>
      <c r="AG56" s="15">
        <f>IF(ISBLANK(AF56),0,VLOOKUP(AF56,UNITGRADES,2,FALSE))</f>
        <v>80</v>
      </c>
      <c r="AH56" s="16" t="s">
        <v>23</v>
      </c>
      <c r="AI56" s="15">
        <f>IF(ISBLANK(AH56),0,VLOOKUP(AH56,UNITGRADES,2,FALSE))</f>
        <v>70</v>
      </c>
      <c r="AJ56" s="16" t="s">
        <v>24</v>
      </c>
      <c r="AK56" s="15">
        <f>IF(ISBLANK(AJ56),0,VLOOKUP(AJ56,UNITGRADES,2,FALSE))</f>
        <v>80</v>
      </c>
      <c r="AL56" s="16" t="s">
        <v>24</v>
      </c>
      <c r="AM56" s="15">
        <f>IF(ISBLANK(AL56),0,VLOOKUP(AL56,UNITGRADES,2,FALSE))</f>
        <v>80</v>
      </c>
      <c r="AN56" s="16" t="s">
        <v>23</v>
      </c>
      <c r="AO56" s="15">
        <f>IF(ISBLANK(AN56),0,VLOOKUP(AN56,UNITGRADES,2,FALSE))</f>
        <v>70</v>
      </c>
      <c r="AP56" s="16" t="s">
        <v>24</v>
      </c>
      <c r="AQ56" s="15">
        <f>IF(ISBLANK(AP56),0,VLOOKUP(AP56,UNITGRADES,2,FALSE))</f>
        <v>80</v>
      </c>
      <c r="AR56" s="16" t="s">
        <v>23</v>
      </c>
      <c r="AS56" s="11">
        <f>IF(ISBLANK(AR56),0,VLOOKUP(AR56,UNITGRADES,2,FALSE))</f>
        <v>70</v>
      </c>
      <c r="AT56" s="13">
        <f t="shared" si="1"/>
        <v>8</v>
      </c>
      <c r="AU56" s="13">
        <f t="shared" si="2"/>
        <v>7</v>
      </c>
      <c r="AV56" s="13">
        <f t="shared" si="3"/>
        <v>3</v>
      </c>
      <c r="AW56" s="17">
        <f t="shared" si="4"/>
        <v>1320</v>
      </c>
      <c r="AX56" s="18" t="str">
        <f>VLOOKUP(AW56,FINALGRADES,3,TRUE)</f>
        <v>MPP</v>
      </c>
      <c r="AY56" s="10">
        <f>VLOOKUP(AW56,FINALGRADES,4,TRUE)</f>
        <v>160</v>
      </c>
      <c r="AZ56" s="11">
        <f>VLOOKUP(G56,TARGETPOINTS,2,FALSE)</f>
        <v>200</v>
      </c>
      <c r="BA56" s="11" t="str">
        <f t="shared" si="5"/>
        <v>Under</v>
      </c>
      <c r="BB56" s="10"/>
      <c r="BC56" s="11"/>
      <c r="BD56" s="11"/>
    </row>
    <row r="57" spans="1:56" ht="11.25" customHeight="1">
      <c r="A57" s="13">
        <v>1</v>
      </c>
      <c r="B57" s="13">
        <v>6121771</v>
      </c>
      <c r="C57" s="12" t="s">
        <v>134</v>
      </c>
      <c r="D57" s="12" t="s">
        <v>135</v>
      </c>
      <c r="E57" s="13" t="s">
        <v>24</v>
      </c>
      <c r="F57" s="14">
        <v>33581</v>
      </c>
      <c r="G57" s="13" t="s">
        <v>22</v>
      </c>
      <c r="H57" s="16" t="s">
        <v>24</v>
      </c>
      <c r="I57" s="15">
        <f>IF(ISBLANK(H57),0,VLOOKUP(H57,UNITGRADES,2,FALSE))</f>
        <v>80</v>
      </c>
      <c r="J57" s="16" t="s">
        <v>25</v>
      </c>
      <c r="K57" s="15">
        <f>IF(ISBLANK(J57),0,VLOOKUP(J57,UNITGRADES,2,FALSE))</f>
        <v>90</v>
      </c>
      <c r="L57" s="16" t="s">
        <v>24</v>
      </c>
      <c r="M57" s="15">
        <f>IF(ISBLANK(L57),0,VLOOKUP(L57,UNITGRADES,2,FALSE))</f>
        <v>80</v>
      </c>
      <c r="N57" s="16" t="s">
        <v>23</v>
      </c>
      <c r="O57" s="15">
        <f>IF(ISBLANK(N57),0,VLOOKUP(N57,UNITGRADES,2,FALSE))</f>
        <v>70</v>
      </c>
      <c r="P57" s="16" t="s">
        <v>24</v>
      </c>
      <c r="Q57" s="15">
        <f>IF(ISBLANK(P57),0,VLOOKUP(P57,UNITGRADES,2,FALSE))</f>
        <v>80</v>
      </c>
      <c r="R57" s="16" t="s">
        <v>24</v>
      </c>
      <c r="S57" s="15">
        <f>IF(ISBLANK(R57),0,VLOOKUP(R57,UNITGRADES,2,FALSE))</f>
        <v>80</v>
      </c>
      <c r="T57" s="16" t="s">
        <v>25</v>
      </c>
      <c r="U57" s="15">
        <f>IF(ISBLANK(T57),0,VLOOKUP(T57,UNITGRADES,2,FALSE))</f>
        <v>90</v>
      </c>
      <c r="V57" s="16" t="s">
        <v>24</v>
      </c>
      <c r="W57" s="15">
        <f>IF(ISBLANK(H57),0,VLOOKUP(H57,UNITGRADES,2,FALSE))</f>
        <v>80</v>
      </c>
      <c r="X57" s="16" t="s">
        <v>23</v>
      </c>
      <c r="Y57" s="15">
        <f>IF(ISBLANK(X57),0,VLOOKUP(X57,UNITGRADES,2,FALSE))</f>
        <v>70</v>
      </c>
      <c r="Z57" s="15">
        <f t="shared" si="0"/>
        <v>720</v>
      </c>
      <c r="AA57" s="15" t="str">
        <f>VLOOKUP(Z57*2,FINALGRADES,3,TRUE)</f>
        <v>DMM</v>
      </c>
      <c r="AB57" s="16" t="s">
        <v>23</v>
      </c>
      <c r="AC57" s="15">
        <f>IF(ISBLANK(AB57),0,VLOOKUP(AB57,UNITGRADES,2,FALSE))</f>
        <v>70</v>
      </c>
      <c r="AD57" s="16" t="s">
        <v>23</v>
      </c>
      <c r="AE57" s="15">
        <f>IF(ISBLANK(AD57),0,VLOOKUP(AD57,UNITGRADES,2,FALSE))</f>
        <v>70</v>
      </c>
      <c r="AF57" s="16" t="s">
        <v>25</v>
      </c>
      <c r="AG57" s="15">
        <f>IF(ISBLANK(AF57),0,VLOOKUP(AF57,UNITGRADES,2,FALSE))</f>
        <v>90</v>
      </c>
      <c r="AH57" s="16" t="s">
        <v>23</v>
      </c>
      <c r="AI57" s="15">
        <f>IF(ISBLANK(AH57),0,VLOOKUP(AH57,UNITGRADES,2,FALSE))</f>
        <v>70</v>
      </c>
      <c r="AJ57" s="16" t="s">
        <v>24</v>
      </c>
      <c r="AK57" s="15">
        <f>IF(ISBLANK(AJ57),0,VLOOKUP(AJ57,UNITGRADES,2,FALSE))</f>
        <v>80</v>
      </c>
      <c r="AL57" s="16" t="s">
        <v>23</v>
      </c>
      <c r="AM57" s="15">
        <f>IF(ISBLANK(AL57),0,VLOOKUP(AL57,UNITGRADES,2,FALSE))</f>
        <v>70</v>
      </c>
      <c r="AN57" s="16" t="s">
        <v>23</v>
      </c>
      <c r="AO57" s="15">
        <f>IF(ISBLANK(AN57),0,VLOOKUP(AN57,UNITGRADES,2,FALSE))</f>
        <v>70</v>
      </c>
      <c r="AP57" s="16" t="s">
        <v>25</v>
      </c>
      <c r="AQ57" s="15">
        <f>IF(ISBLANK(AP57),0,VLOOKUP(AP57,UNITGRADES,2,FALSE))</f>
        <v>90</v>
      </c>
      <c r="AR57" s="16" t="s">
        <v>24</v>
      </c>
      <c r="AS57" s="11">
        <f>IF(ISBLANK(AR57),0,VLOOKUP(AR57,UNITGRADES,2,FALSE))</f>
        <v>80</v>
      </c>
      <c r="AT57" s="13">
        <f t="shared" si="1"/>
        <v>7</v>
      </c>
      <c r="AU57" s="13">
        <f t="shared" si="2"/>
        <v>7</v>
      </c>
      <c r="AV57" s="13">
        <f t="shared" si="3"/>
        <v>4</v>
      </c>
      <c r="AW57" s="17">
        <f t="shared" si="4"/>
        <v>1330</v>
      </c>
      <c r="AX57" s="18" t="str">
        <f>VLOOKUP(AW57,FINALGRADES,3,TRUE)</f>
        <v>MPP</v>
      </c>
      <c r="AY57" s="10">
        <f>VLOOKUP(AW57,FINALGRADES,4,TRUE)</f>
        <v>160</v>
      </c>
      <c r="AZ57" s="11">
        <f>VLOOKUP(G57,TARGETPOINTS,2,FALSE)</f>
        <v>160</v>
      </c>
      <c r="BA57" s="11" t="str">
        <f t="shared" si="5"/>
        <v>Same</v>
      </c>
      <c r="BB57" s="10"/>
      <c r="BC57" s="11"/>
      <c r="BD57" s="11"/>
    </row>
    <row r="58" spans="1:56" ht="11.25" customHeight="1">
      <c r="A58" s="13">
        <v>1</v>
      </c>
      <c r="B58" s="13">
        <v>6519710</v>
      </c>
      <c r="C58" s="12" t="s">
        <v>136</v>
      </c>
      <c r="D58" s="12" t="s">
        <v>137</v>
      </c>
      <c r="E58" s="13" t="s">
        <v>24</v>
      </c>
      <c r="F58" s="14">
        <v>33594</v>
      </c>
      <c r="G58" s="13" t="s">
        <v>22</v>
      </c>
      <c r="H58" s="16" t="s">
        <v>24</v>
      </c>
      <c r="I58" s="15">
        <f>IF(ISBLANK(H58),0,VLOOKUP(H58,UNITGRADES,2,FALSE))</f>
        <v>80</v>
      </c>
      <c r="J58" s="16" t="s">
        <v>24</v>
      </c>
      <c r="K58" s="15">
        <f>IF(ISBLANK(J58),0,VLOOKUP(J58,UNITGRADES,2,FALSE))</f>
        <v>80</v>
      </c>
      <c r="L58" s="16" t="s">
        <v>23</v>
      </c>
      <c r="M58" s="15">
        <f>IF(ISBLANK(L58),0,VLOOKUP(L58,UNITGRADES,2,FALSE))</f>
        <v>70</v>
      </c>
      <c r="N58" s="16" t="s">
        <v>23</v>
      </c>
      <c r="O58" s="15">
        <f>IF(ISBLANK(N58),0,VLOOKUP(N58,UNITGRADES,2,FALSE))</f>
        <v>70</v>
      </c>
      <c r="P58" s="16" t="s">
        <v>24</v>
      </c>
      <c r="Q58" s="15">
        <f>IF(ISBLANK(P58),0,VLOOKUP(P58,UNITGRADES,2,FALSE))</f>
        <v>80</v>
      </c>
      <c r="R58" s="16" t="s">
        <v>24</v>
      </c>
      <c r="S58" s="15">
        <f>IF(ISBLANK(R58),0,VLOOKUP(R58,UNITGRADES,2,FALSE))</f>
        <v>80</v>
      </c>
      <c r="T58" s="16" t="s">
        <v>24</v>
      </c>
      <c r="U58" s="15">
        <f>IF(ISBLANK(T58),0,VLOOKUP(T58,UNITGRADES,2,FALSE))</f>
        <v>80</v>
      </c>
      <c r="V58" s="16" t="s">
        <v>25</v>
      </c>
      <c r="W58" s="15">
        <f>IF(ISBLANK(H58),0,VLOOKUP(H58,UNITGRADES,2,FALSE))</f>
        <v>80</v>
      </c>
      <c r="X58" s="16" t="s">
        <v>23</v>
      </c>
      <c r="Y58" s="15">
        <f>IF(ISBLANK(X58),0,VLOOKUP(X58,UNITGRADES,2,FALSE))</f>
        <v>70</v>
      </c>
      <c r="Z58" s="15">
        <f t="shared" si="0"/>
        <v>690</v>
      </c>
      <c r="AA58" s="15" t="str">
        <f>VLOOKUP(Z58*2,FINALGRADES,3,TRUE)</f>
        <v>MMM</v>
      </c>
      <c r="AB58" s="16" t="s">
        <v>23</v>
      </c>
      <c r="AC58" s="15">
        <f>IF(ISBLANK(AB58),0,VLOOKUP(AB58,UNITGRADES,2,FALSE))</f>
        <v>70</v>
      </c>
      <c r="AD58" s="16" t="s">
        <v>23</v>
      </c>
      <c r="AE58" s="15">
        <f>IF(ISBLANK(AD58),0,VLOOKUP(AD58,UNITGRADES,2,FALSE))</f>
        <v>70</v>
      </c>
      <c r="AF58" s="16" t="s">
        <v>24</v>
      </c>
      <c r="AG58" s="15">
        <f>IF(ISBLANK(AF58),0,VLOOKUP(AF58,UNITGRADES,2,FALSE))</f>
        <v>80</v>
      </c>
      <c r="AH58" s="16" t="s">
        <v>24</v>
      </c>
      <c r="AI58" s="15">
        <f>IF(ISBLANK(AH58),0,VLOOKUP(AH58,UNITGRADES,2,FALSE))</f>
        <v>80</v>
      </c>
      <c r="AJ58" s="16" t="s">
        <v>24</v>
      </c>
      <c r="AK58" s="15">
        <f>IF(ISBLANK(AJ58),0,VLOOKUP(AJ58,UNITGRADES,2,FALSE))</f>
        <v>80</v>
      </c>
      <c r="AL58" s="16" t="s">
        <v>25</v>
      </c>
      <c r="AM58" s="15">
        <f>IF(ISBLANK(AL58),0,VLOOKUP(AL58,UNITGRADES,2,FALSE))</f>
        <v>90</v>
      </c>
      <c r="AN58" s="16" t="s">
        <v>25</v>
      </c>
      <c r="AO58" s="15">
        <f>IF(ISBLANK(AN58),0,VLOOKUP(AN58,UNITGRADES,2,FALSE))</f>
        <v>90</v>
      </c>
      <c r="AP58" s="16" t="s">
        <v>25</v>
      </c>
      <c r="AQ58" s="15">
        <f>IF(ISBLANK(AP58),0,VLOOKUP(AP58,UNITGRADES,2,FALSE))</f>
        <v>90</v>
      </c>
      <c r="AR58" s="16" t="s">
        <v>25</v>
      </c>
      <c r="AS58" s="11">
        <f>IF(ISBLANK(AR58),0,VLOOKUP(AR58,UNITGRADES,2,FALSE))</f>
        <v>90</v>
      </c>
      <c r="AT58" s="13">
        <f t="shared" si="1"/>
        <v>5</v>
      </c>
      <c r="AU58" s="13">
        <f t="shared" si="2"/>
        <v>8</v>
      </c>
      <c r="AV58" s="13">
        <f t="shared" si="3"/>
        <v>5</v>
      </c>
      <c r="AW58" s="17">
        <f t="shared" si="4"/>
        <v>1340</v>
      </c>
      <c r="AX58" s="18" t="str">
        <f>VLOOKUP(AW58,FINALGRADES,3,TRUE)</f>
        <v>MMP</v>
      </c>
      <c r="AY58" s="10">
        <f>VLOOKUP(AW58,FINALGRADES,4,TRUE)</f>
        <v>200</v>
      </c>
      <c r="AZ58" s="11">
        <f>VLOOKUP(G58,TARGETPOINTS,2,FALSE)</f>
        <v>160</v>
      </c>
      <c r="BA58" s="11" t="str">
        <f t="shared" si="5"/>
        <v>Over</v>
      </c>
      <c r="BB58" s="10"/>
      <c r="BC58" s="11"/>
      <c r="BD58" s="11"/>
    </row>
    <row r="59" spans="1:56" ht="11.25" customHeight="1">
      <c r="A59" s="13">
        <v>2</v>
      </c>
      <c r="B59" s="13">
        <v>5327226</v>
      </c>
      <c r="C59" s="12" t="s">
        <v>138</v>
      </c>
      <c r="D59" s="12" t="s">
        <v>139</v>
      </c>
      <c r="E59" s="13" t="s">
        <v>24</v>
      </c>
      <c r="F59" s="14">
        <v>33263</v>
      </c>
      <c r="G59" s="13" t="s">
        <v>32</v>
      </c>
      <c r="H59" s="16" t="s">
        <v>24</v>
      </c>
      <c r="I59" s="15">
        <f>IF(ISBLANK(H59),0,VLOOKUP(H59,UNITGRADES,2,FALSE))</f>
        <v>80</v>
      </c>
      <c r="J59" s="16" t="s">
        <v>23</v>
      </c>
      <c r="K59" s="15">
        <f>IF(ISBLANK(J59),0,VLOOKUP(J59,UNITGRADES,2,FALSE))</f>
        <v>70</v>
      </c>
      <c r="L59" s="16" t="s">
        <v>25</v>
      </c>
      <c r="M59" s="15">
        <f>IF(ISBLANK(L59),0,VLOOKUP(L59,UNITGRADES,2,FALSE))</f>
        <v>90</v>
      </c>
      <c r="N59" s="16" t="s">
        <v>25</v>
      </c>
      <c r="O59" s="15">
        <f>IF(ISBLANK(N59),0,VLOOKUP(N59,UNITGRADES,2,FALSE))</f>
        <v>90</v>
      </c>
      <c r="P59" s="16" t="s">
        <v>23</v>
      </c>
      <c r="Q59" s="15">
        <f>IF(ISBLANK(P59),0,VLOOKUP(P59,UNITGRADES,2,FALSE))</f>
        <v>70</v>
      </c>
      <c r="R59" s="16" t="s">
        <v>25</v>
      </c>
      <c r="S59" s="15">
        <f>IF(ISBLANK(R59),0,VLOOKUP(R59,UNITGRADES,2,FALSE))</f>
        <v>90</v>
      </c>
      <c r="T59" s="16" t="s">
        <v>23</v>
      </c>
      <c r="U59" s="15">
        <f>IF(ISBLANK(T59),0,VLOOKUP(T59,UNITGRADES,2,FALSE))</f>
        <v>70</v>
      </c>
      <c r="V59" s="16" t="s">
        <v>25</v>
      </c>
      <c r="W59" s="15">
        <f>IF(ISBLANK(H59),0,VLOOKUP(H59,UNITGRADES,2,FALSE))</f>
        <v>80</v>
      </c>
      <c r="X59" s="16" t="s">
        <v>23</v>
      </c>
      <c r="Y59" s="15">
        <f>IF(ISBLANK(X59),0,VLOOKUP(X59,UNITGRADES,2,FALSE))</f>
        <v>70</v>
      </c>
      <c r="Z59" s="15">
        <f t="shared" si="0"/>
        <v>710</v>
      </c>
      <c r="AA59" s="15" t="str">
        <f>VLOOKUP(Z59*2,FINALGRADES,3,TRUE)</f>
        <v>DMM</v>
      </c>
      <c r="AB59" s="16" t="s">
        <v>23</v>
      </c>
      <c r="AC59" s="15">
        <f>IF(ISBLANK(AB59),0,VLOOKUP(AB59,UNITGRADES,2,FALSE))</f>
        <v>70</v>
      </c>
      <c r="AD59" s="16" t="s">
        <v>24</v>
      </c>
      <c r="AE59" s="15">
        <f>IF(ISBLANK(AD59),0,VLOOKUP(AD59,UNITGRADES,2,FALSE))</f>
        <v>80</v>
      </c>
      <c r="AF59" s="16" t="s">
        <v>24</v>
      </c>
      <c r="AG59" s="15">
        <f>IF(ISBLANK(AF59),0,VLOOKUP(AF59,UNITGRADES,2,FALSE))</f>
        <v>80</v>
      </c>
      <c r="AH59" s="16" t="s">
        <v>23</v>
      </c>
      <c r="AI59" s="15">
        <f>IF(ISBLANK(AH59),0,VLOOKUP(AH59,UNITGRADES,2,FALSE))</f>
        <v>70</v>
      </c>
      <c r="AJ59" s="16" t="s">
        <v>24</v>
      </c>
      <c r="AK59" s="15">
        <f>IF(ISBLANK(AJ59),0,VLOOKUP(AJ59,UNITGRADES,2,FALSE))</f>
        <v>80</v>
      </c>
      <c r="AL59" s="16" t="s">
        <v>24</v>
      </c>
      <c r="AM59" s="15">
        <f>IF(ISBLANK(AL59),0,VLOOKUP(AL59,UNITGRADES,2,FALSE))</f>
        <v>80</v>
      </c>
      <c r="AN59" s="16" t="s">
        <v>25</v>
      </c>
      <c r="AO59" s="15">
        <f>IF(ISBLANK(AN59),0,VLOOKUP(AN59,UNITGRADES,2,FALSE))</f>
        <v>90</v>
      </c>
      <c r="AP59" s="16" t="s">
        <v>24</v>
      </c>
      <c r="AQ59" s="15">
        <f>IF(ISBLANK(AP59),0,VLOOKUP(AP59,UNITGRADES,2,FALSE))</f>
        <v>80</v>
      </c>
      <c r="AR59" s="16" t="s">
        <v>24</v>
      </c>
      <c r="AS59" s="11">
        <f>IF(ISBLANK(AR59),0,VLOOKUP(AR59,UNITGRADES,2,FALSE))</f>
        <v>80</v>
      </c>
      <c r="AT59" s="13">
        <f t="shared" si="1"/>
        <v>6</v>
      </c>
      <c r="AU59" s="13">
        <f t="shared" si="2"/>
        <v>7</v>
      </c>
      <c r="AV59" s="13">
        <f t="shared" si="3"/>
        <v>5</v>
      </c>
      <c r="AW59" s="17">
        <f t="shared" si="4"/>
        <v>1340</v>
      </c>
      <c r="AX59" s="18" t="str">
        <f>VLOOKUP(AW59,FINALGRADES,3,TRUE)</f>
        <v>MMP</v>
      </c>
      <c r="AY59" s="10">
        <f>VLOOKUP(AW59,FINALGRADES,4,TRUE)</f>
        <v>200</v>
      </c>
      <c r="AZ59" s="11">
        <f>VLOOKUP(G59,TARGETPOINTS,2,FALSE)</f>
        <v>240</v>
      </c>
      <c r="BA59" s="11" t="str">
        <f t="shared" si="5"/>
        <v>Under</v>
      </c>
      <c r="BB59" s="10"/>
      <c r="BC59" s="11"/>
      <c r="BD59" s="11"/>
    </row>
    <row r="60" spans="1:56" ht="11.25" customHeight="1">
      <c r="A60" s="13">
        <v>3</v>
      </c>
      <c r="B60" s="13">
        <v>7053292</v>
      </c>
      <c r="C60" s="12" t="s">
        <v>140</v>
      </c>
      <c r="D60" s="12" t="s">
        <v>141</v>
      </c>
      <c r="E60" s="13" t="s">
        <v>24</v>
      </c>
      <c r="F60" s="14">
        <v>33122</v>
      </c>
      <c r="G60" s="13" t="s">
        <v>70</v>
      </c>
      <c r="H60" s="16" t="s">
        <v>23</v>
      </c>
      <c r="I60" s="15">
        <f>IF(ISBLANK(H60),0,VLOOKUP(H60,UNITGRADES,2,FALSE))</f>
        <v>70</v>
      </c>
      <c r="J60" s="16" t="s">
        <v>25</v>
      </c>
      <c r="K60" s="15">
        <f>IF(ISBLANK(J60),0,VLOOKUP(J60,UNITGRADES,2,FALSE))</f>
        <v>90</v>
      </c>
      <c r="L60" s="16" t="s">
        <v>24</v>
      </c>
      <c r="M60" s="15">
        <f>IF(ISBLANK(L60),0,VLOOKUP(L60,UNITGRADES,2,FALSE))</f>
        <v>80</v>
      </c>
      <c r="N60" s="16" t="s">
        <v>23</v>
      </c>
      <c r="O60" s="15">
        <f>IF(ISBLANK(N60),0,VLOOKUP(N60,UNITGRADES,2,FALSE))</f>
        <v>70</v>
      </c>
      <c r="P60" s="16" t="s">
        <v>24</v>
      </c>
      <c r="Q60" s="15">
        <f>IF(ISBLANK(P60),0,VLOOKUP(P60,UNITGRADES,2,FALSE))</f>
        <v>80</v>
      </c>
      <c r="R60" s="16" t="s">
        <v>25</v>
      </c>
      <c r="S60" s="15">
        <f>IF(ISBLANK(R60),0,VLOOKUP(R60,UNITGRADES,2,FALSE))</f>
        <v>90</v>
      </c>
      <c r="T60" s="16" t="s">
        <v>23</v>
      </c>
      <c r="U60" s="15">
        <f>IF(ISBLANK(T60),0,VLOOKUP(T60,UNITGRADES,2,FALSE))</f>
        <v>70</v>
      </c>
      <c r="V60" s="16" t="s">
        <v>24</v>
      </c>
      <c r="W60" s="15">
        <f>IF(ISBLANK(H60),0,VLOOKUP(H60,UNITGRADES,2,FALSE))</f>
        <v>70</v>
      </c>
      <c r="X60" s="16" t="s">
        <v>24</v>
      </c>
      <c r="Y60" s="15">
        <f>IF(ISBLANK(X60),0,VLOOKUP(X60,UNITGRADES,2,FALSE))</f>
        <v>80</v>
      </c>
      <c r="Z60" s="15">
        <f t="shared" si="0"/>
        <v>700</v>
      </c>
      <c r="AA60" s="15" t="str">
        <f>VLOOKUP(Z60*2,FINALGRADES,3,TRUE)</f>
        <v>MMM</v>
      </c>
      <c r="AB60" s="16" t="s">
        <v>25</v>
      </c>
      <c r="AC60" s="15">
        <f>IF(ISBLANK(AB60),0,VLOOKUP(AB60,UNITGRADES,2,FALSE))</f>
        <v>90</v>
      </c>
      <c r="AD60" s="16" t="s">
        <v>25</v>
      </c>
      <c r="AE60" s="15">
        <f>IF(ISBLANK(AD60),0,VLOOKUP(AD60,UNITGRADES,2,FALSE))</f>
        <v>90</v>
      </c>
      <c r="AF60" s="16" t="s">
        <v>23</v>
      </c>
      <c r="AG60" s="15">
        <f>IF(ISBLANK(AF60),0,VLOOKUP(AF60,UNITGRADES,2,FALSE))</f>
        <v>70</v>
      </c>
      <c r="AH60" s="16" t="s">
        <v>23</v>
      </c>
      <c r="AI60" s="15">
        <f>IF(ISBLANK(AH60),0,VLOOKUP(AH60,UNITGRADES,2,FALSE))</f>
        <v>70</v>
      </c>
      <c r="AJ60" s="16" t="s">
        <v>23</v>
      </c>
      <c r="AK60" s="15">
        <f>IF(ISBLANK(AJ60),0,VLOOKUP(AJ60,UNITGRADES,2,FALSE))</f>
        <v>70</v>
      </c>
      <c r="AL60" s="16" t="s">
        <v>25</v>
      </c>
      <c r="AM60" s="15">
        <f>IF(ISBLANK(AL60),0,VLOOKUP(AL60,UNITGRADES,2,FALSE))</f>
        <v>90</v>
      </c>
      <c r="AN60" s="16" t="s">
        <v>24</v>
      </c>
      <c r="AO60" s="15">
        <f>IF(ISBLANK(AN60),0,VLOOKUP(AN60,UNITGRADES,2,FALSE))</f>
        <v>80</v>
      </c>
      <c r="AP60" s="16" t="s">
        <v>24</v>
      </c>
      <c r="AQ60" s="15">
        <f>IF(ISBLANK(AP60),0,VLOOKUP(AP60,UNITGRADES,2,FALSE))</f>
        <v>80</v>
      </c>
      <c r="AR60" s="16" t="s">
        <v>23</v>
      </c>
      <c r="AS60" s="11">
        <f>IF(ISBLANK(AR60),0,VLOOKUP(AR60,UNITGRADES,2,FALSE))</f>
        <v>70</v>
      </c>
      <c r="AT60" s="13">
        <f t="shared" si="1"/>
        <v>7</v>
      </c>
      <c r="AU60" s="13">
        <f t="shared" si="2"/>
        <v>6</v>
      </c>
      <c r="AV60" s="13">
        <f t="shared" si="3"/>
        <v>5</v>
      </c>
      <c r="AW60" s="17">
        <f t="shared" si="4"/>
        <v>1340</v>
      </c>
      <c r="AX60" s="18" t="str">
        <f>VLOOKUP(AW60,FINALGRADES,3,TRUE)</f>
        <v>MMP</v>
      </c>
      <c r="AY60" s="10">
        <f>VLOOKUP(AW60,FINALGRADES,4,TRUE)</f>
        <v>200</v>
      </c>
      <c r="AZ60" s="11">
        <f>VLOOKUP(G60,TARGETPOINTS,2,FALSE)</f>
        <v>320</v>
      </c>
      <c r="BA60" s="11" t="str">
        <f t="shared" si="5"/>
        <v>Under</v>
      </c>
      <c r="BB60" s="10"/>
      <c r="BC60" s="11"/>
      <c r="BD60" s="11"/>
    </row>
    <row r="61" spans="1:56" ht="11.25" customHeight="1">
      <c r="A61" s="13">
        <v>3</v>
      </c>
      <c r="B61" s="13">
        <v>8409788</v>
      </c>
      <c r="C61" s="12" t="s">
        <v>142</v>
      </c>
      <c r="D61" s="12" t="s">
        <v>143</v>
      </c>
      <c r="E61" s="13" t="s">
        <v>24</v>
      </c>
      <c r="F61" s="14">
        <v>34091</v>
      </c>
      <c r="G61" s="13" t="s">
        <v>50</v>
      </c>
      <c r="H61" s="16" t="s">
        <v>23</v>
      </c>
      <c r="I61" s="15">
        <f>IF(ISBLANK(H61),0,VLOOKUP(H61,UNITGRADES,2,FALSE))</f>
        <v>70</v>
      </c>
      <c r="J61" s="16" t="s">
        <v>24</v>
      </c>
      <c r="K61" s="15">
        <f>IF(ISBLANK(J61),0,VLOOKUP(J61,UNITGRADES,2,FALSE))</f>
        <v>80</v>
      </c>
      <c r="L61" s="16" t="s">
        <v>25</v>
      </c>
      <c r="M61" s="15">
        <f>IF(ISBLANK(L61),0,VLOOKUP(L61,UNITGRADES,2,FALSE))</f>
        <v>90</v>
      </c>
      <c r="N61" s="16" t="s">
        <v>24</v>
      </c>
      <c r="O61" s="15">
        <f>IF(ISBLANK(N61),0,VLOOKUP(N61,UNITGRADES,2,FALSE))</f>
        <v>80</v>
      </c>
      <c r="P61" s="16" t="s">
        <v>24</v>
      </c>
      <c r="Q61" s="15">
        <f>IF(ISBLANK(P61),0,VLOOKUP(P61,UNITGRADES,2,FALSE))</f>
        <v>80</v>
      </c>
      <c r="R61" s="16" t="s">
        <v>24</v>
      </c>
      <c r="S61" s="15">
        <f>IF(ISBLANK(R61),0,VLOOKUP(R61,UNITGRADES,2,FALSE))</f>
        <v>80</v>
      </c>
      <c r="T61" s="16" t="s">
        <v>23</v>
      </c>
      <c r="U61" s="15">
        <f>IF(ISBLANK(T61),0,VLOOKUP(T61,UNITGRADES,2,FALSE))</f>
        <v>70</v>
      </c>
      <c r="V61" s="16" t="s">
        <v>25</v>
      </c>
      <c r="W61" s="15">
        <f>IF(ISBLANK(H61),0,VLOOKUP(H61,UNITGRADES,2,FALSE))</f>
        <v>70</v>
      </c>
      <c r="X61" s="16" t="s">
        <v>23</v>
      </c>
      <c r="Y61" s="15">
        <f>IF(ISBLANK(X61),0,VLOOKUP(X61,UNITGRADES,2,FALSE))</f>
        <v>70</v>
      </c>
      <c r="Z61" s="15">
        <f t="shared" si="0"/>
        <v>690</v>
      </c>
      <c r="AA61" s="15" t="str">
        <f>VLOOKUP(Z61*2,FINALGRADES,3,TRUE)</f>
        <v>MMM</v>
      </c>
      <c r="AB61" s="16" t="s">
        <v>24</v>
      </c>
      <c r="AC61" s="15">
        <f>IF(ISBLANK(AB61),0,VLOOKUP(AB61,UNITGRADES,2,FALSE))</f>
        <v>80</v>
      </c>
      <c r="AD61" s="16" t="s">
        <v>24</v>
      </c>
      <c r="AE61" s="15">
        <f>IF(ISBLANK(AD61),0,VLOOKUP(AD61,UNITGRADES,2,FALSE))</f>
        <v>80</v>
      </c>
      <c r="AF61" s="16" t="s">
        <v>24</v>
      </c>
      <c r="AG61" s="15">
        <f>IF(ISBLANK(AF61),0,VLOOKUP(AF61,UNITGRADES,2,FALSE))</f>
        <v>80</v>
      </c>
      <c r="AH61" s="16" t="s">
        <v>23</v>
      </c>
      <c r="AI61" s="15">
        <f>IF(ISBLANK(AH61),0,VLOOKUP(AH61,UNITGRADES,2,FALSE))</f>
        <v>70</v>
      </c>
      <c r="AJ61" s="16" t="s">
        <v>25</v>
      </c>
      <c r="AK61" s="15">
        <f>IF(ISBLANK(AJ61),0,VLOOKUP(AJ61,UNITGRADES,2,FALSE))</f>
        <v>90</v>
      </c>
      <c r="AL61" s="16" t="s">
        <v>25</v>
      </c>
      <c r="AM61" s="15">
        <f>IF(ISBLANK(AL61),0,VLOOKUP(AL61,UNITGRADES,2,FALSE))</f>
        <v>90</v>
      </c>
      <c r="AN61" s="16" t="s">
        <v>24</v>
      </c>
      <c r="AO61" s="15">
        <f>IF(ISBLANK(AN61),0,VLOOKUP(AN61,UNITGRADES,2,FALSE))</f>
        <v>80</v>
      </c>
      <c r="AP61" s="16" t="s">
        <v>24</v>
      </c>
      <c r="AQ61" s="15">
        <f>IF(ISBLANK(AP61),0,VLOOKUP(AP61,UNITGRADES,2,FALSE))</f>
        <v>80</v>
      </c>
      <c r="AR61" s="16" t="s">
        <v>25</v>
      </c>
      <c r="AS61" s="11">
        <f>IF(ISBLANK(AR61),0,VLOOKUP(AR61,UNITGRADES,2,FALSE))</f>
        <v>90</v>
      </c>
      <c r="AT61" s="13">
        <f t="shared" si="1"/>
        <v>4</v>
      </c>
      <c r="AU61" s="13">
        <f t="shared" si="2"/>
        <v>9</v>
      </c>
      <c r="AV61" s="13">
        <f t="shared" si="3"/>
        <v>5</v>
      </c>
      <c r="AW61" s="17">
        <f t="shared" si="4"/>
        <v>1340</v>
      </c>
      <c r="AX61" s="18" t="str">
        <f>VLOOKUP(AW61,FINALGRADES,3,TRUE)</f>
        <v>MMP</v>
      </c>
      <c r="AY61" s="10">
        <f>VLOOKUP(AW61,FINALGRADES,4,TRUE)</f>
        <v>200</v>
      </c>
      <c r="AZ61" s="11">
        <f>VLOOKUP(G61,TARGETPOINTS,2,FALSE)</f>
        <v>200</v>
      </c>
      <c r="BA61" s="11" t="str">
        <f t="shared" si="5"/>
        <v>Same</v>
      </c>
      <c r="BB61" s="10"/>
      <c r="BC61" s="11"/>
      <c r="BD61" s="11"/>
    </row>
    <row r="62" spans="1:56" ht="11.25" customHeight="1">
      <c r="A62" s="13">
        <v>3</v>
      </c>
      <c r="B62" s="13">
        <v>8260296</v>
      </c>
      <c r="C62" s="12" t="s">
        <v>144</v>
      </c>
      <c r="D62" s="12" t="s">
        <v>145</v>
      </c>
      <c r="E62" s="13" t="s">
        <v>24</v>
      </c>
      <c r="F62" s="14">
        <v>34067</v>
      </c>
      <c r="G62" s="13" t="s">
        <v>50</v>
      </c>
      <c r="H62" s="16" t="s">
        <v>24</v>
      </c>
      <c r="I62" s="15">
        <f>IF(ISBLANK(H62),0,VLOOKUP(H62,UNITGRADES,2,FALSE))</f>
        <v>80</v>
      </c>
      <c r="J62" s="16" t="s">
        <v>24</v>
      </c>
      <c r="K62" s="15">
        <f>IF(ISBLANK(J62),0,VLOOKUP(J62,UNITGRADES,2,FALSE))</f>
        <v>80</v>
      </c>
      <c r="L62" s="16" t="s">
        <v>24</v>
      </c>
      <c r="M62" s="15">
        <f>IF(ISBLANK(L62),0,VLOOKUP(L62,UNITGRADES,2,FALSE))</f>
        <v>80</v>
      </c>
      <c r="N62" s="16" t="s">
        <v>23</v>
      </c>
      <c r="O62" s="15">
        <f>IF(ISBLANK(N62),0,VLOOKUP(N62,UNITGRADES,2,FALSE))</f>
        <v>70</v>
      </c>
      <c r="P62" s="16" t="s">
        <v>25</v>
      </c>
      <c r="Q62" s="15">
        <f>IF(ISBLANK(P62),0,VLOOKUP(P62,UNITGRADES,2,FALSE))</f>
        <v>90</v>
      </c>
      <c r="R62" s="16" t="s">
        <v>25</v>
      </c>
      <c r="S62" s="15">
        <f>IF(ISBLANK(R62),0,VLOOKUP(R62,UNITGRADES,2,FALSE))</f>
        <v>90</v>
      </c>
      <c r="T62" s="16" t="s">
        <v>24</v>
      </c>
      <c r="U62" s="15">
        <f>IF(ISBLANK(T62),0,VLOOKUP(T62,UNITGRADES,2,FALSE))</f>
        <v>80</v>
      </c>
      <c r="V62" s="16" t="s">
        <v>25</v>
      </c>
      <c r="W62" s="15">
        <f>IF(ISBLANK(H62),0,VLOOKUP(H62,UNITGRADES,2,FALSE))</f>
        <v>80</v>
      </c>
      <c r="X62" s="16" t="s">
        <v>23</v>
      </c>
      <c r="Y62" s="15">
        <f>IF(ISBLANK(X62),0,VLOOKUP(X62,UNITGRADES,2,FALSE))</f>
        <v>70</v>
      </c>
      <c r="Z62" s="15">
        <f t="shared" si="0"/>
        <v>720</v>
      </c>
      <c r="AA62" s="15" t="str">
        <f>VLOOKUP(Z62*2,FINALGRADES,3,TRUE)</f>
        <v>DMM</v>
      </c>
      <c r="AB62" s="16" t="s">
        <v>23</v>
      </c>
      <c r="AC62" s="15">
        <f>IF(ISBLANK(AB62),0,VLOOKUP(AB62,UNITGRADES,2,FALSE))</f>
        <v>70</v>
      </c>
      <c r="AD62" s="16" t="s">
        <v>24</v>
      </c>
      <c r="AE62" s="15">
        <f>IF(ISBLANK(AD62),0,VLOOKUP(AD62,UNITGRADES,2,FALSE))</f>
        <v>80</v>
      </c>
      <c r="AF62" s="16" t="s">
        <v>23</v>
      </c>
      <c r="AG62" s="15">
        <f>IF(ISBLANK(AF62),0,VLOOKUP(AF62,UNITGRADES,2,FALSE))</f>
        <v>70</v>
      </c>
      <c r="AH62" s="16" t="s">
        <v>24</v>
      </c>
      <c r="AI62" s="15">
        <f>IF(ISBLANK(AH62),0,VLOOKUP(AH62,UNITGRADES,2,FALSE))</f>
        <v>80</v>
      </c>
      <c r="AJ62" s="16" t="s">
        <v>25</v>
      </c>
      <c r="AK62" s="15">
        <f>IF(ISBLANK(AJ62),0,VLOOKUP(AJ62,UNITGRADES,2,FALSE))</f>
        <v>90</v>
      </c>
      <c r="AL62" s="16" t="s">
        <v>23</v>
      </c>
      <c r="AM62" s="15">
        <f>IF(ISBLANK(AL62),0,VLOOKUP(AL62,UNITGRADES,2,FALSE))</f>
        <v>70</v>
      </c>
      <c r="AN62" s="16" t="s">
        <v>23</v>
      </c>
      <c r="AO62" s="15">
        <f>IF(ISBLANK(AN62),0,VLOOKUP(AN62,UNITGRADES,2,FALSE))</f>
        <v>70</v>
      </c>
      <c r="AP62" s="16" t="s">
        <v>25</v>
      </c>
      <c r="AQ62" s="15">
        <f>IF(ISBLANK(AP62),0,VLOOKUP(AP62,UNITGRADES,2,FALSE))</f>
        <v>90</v>
      </c>
      <c r="AR62" s="16" t="s">
        <v>24</v>
      </c>
      <c r="AS62" s="11">
        <f>IF(ISBLANK(AR62),0,VLOOKUP(AR62,UNITGRADES,2,FALSE))</f>
        <v>80</v>
      </c>
      <c r="AT62" s="13">
        <f t="shared" si="1"/>
        <v>6</v>
      </c>
      <c r="AU62" s="13">
        <f t="shared" si="2"/>
        <v>7</v>
      </c>
      <c r="AV62" s="13">
        <f t="shared" si="3"/>
        <v>5</v>
      </c>
      <c r="AW62" s="17">
        <f t="shared" si="4"/>
        <v>1340</v>
      </c>
      <c r="AX62" s="18" t="str">
        <f>VLOOKUP(AW62,FINALGRADES,3,TRUE)</f>
        <v>MMP</v>
      </c>
      <c r="AY62" s="10">
        <f>VLOOKUP(AW62,FINALGRADES,4,TRUE)</f>
        <v>200</v>
      </c>
      <c r="AZ62" s="11">
        <f>VLOOKUP(G62,TARGETPOINTS,2,FALSE)</f>
        <v>200</v>
      </c>
      <c r="BA62" s="11" t="str">
        <f t="shared" si="5"/>
        <v>Same</v>
      </c>
      <c r="BB62" s="10"/>
      <c r="BC62" s="11"/>
      <c r="BD62" s="11"/>
    </row>
    <row r="63" spans="1:56" ht="11.25" customHeight="1">
      <c r="A63" s="13">
        <v>3</v>
      </c>
      <c r="B63" s="13">
        <v>9363135</v>
      </c>
      <c r="C63" s="12" t="s">
        <v>146</v>
      </c>
      <c r="D63" s="12" t="s">
        <v>147</v>
      </c>
      <c r="E63" s="13" t="s">
        <v>24</v>
      </c>
      <c r="F63" s="14">
        <v>33139</v>
      </c>
      <c r="G63" s="13" t="s">
        <v>37</v>
      </c>
      <c r="H63" s="16" t="s">
        <v>23</v>
      </c>
      <c r="I63" s="15">
        <f>IF(ISBLANK(H63),0,VLOOKUP(H63,UNITGRADES,2,FALSE))</f>
        <v>70</v>
      </c>
      <c r="J63" s="16" t="s">
        <v>25</v>
      </c>
      <c r="K63" s="15">
        <f>IF(ISBLANK(J63),0,VLOOKUP(J63,UNITGRADES,2,FALSE))</f>
        <v>90</v>
      </c>
      <c r="L63" s="16" t="s">
        <v>23</v>
      </c>
      <c r="M63" s="15">
        <f>IF(ISBLANK(L63),0,VLOOKUP(L63,UNITGRADES,2,FALSE))</f>
        <v>70</v>
      </c>
      <c r="N63" s="16" t="s">
        <v>24</v>
      </c>
      <c r="O63" s="15">
        <f>IF(ISBLANK(N63),0,VLOOKUP(N63,UNITGRADES,2,FALSE))</f>
        <v>80</v>
      </c>
      <c r="P63" s="16" t="s">
        <v>25</v>
      </c>
      <c r="Q63" s="15">
        <f>IF(ISBLANK(P63),0,VLOOKUP(P63,UNITGRADES,2,FALSE))</f>
        <v>90</v>
      </c>
      <c r="R63" s="16" t="s">
        <v>23</v>
      </c>
      <c r="S63" s="15">
        <f>IF(ISBLANK(R63),0,VLOOKUP(R63,UNITGRADES,2,FALSE))</f>
        <v>70</v>
      </c>
      <c r="T63" s="16" t="s">
        <v>24</v>
      </c>
      <c r="U63" s="15">
        <f>IF(ISBLANK(T63),0,VLOOKUP(T63,UNITGRADES,2,FALSE))</f>
        <v>80</v>
      </c>
      <c r="V63" s="16" t="s">
        <v>24</v>
      </c>
      <c r="W63" s="15">
        <f>IF(ISBLANK(H63),0,VLOOKUP(H63,UNITGRADES,2,FALSE))</f>
        <v>70</v>
      </c>
      <c r="X63" s="16" t="s">
        <v>23</v>
      </c>
      <c r="Y63" s="15">
        <f>IF(ISBLANK(X63),0,VLOOKUP(X63,UNITGRADES,2,FALSE))</f>
        <v>70</v>
      </c>
      <c r="Z63" s="15">
        <f t="shared" si="0"/>
        <v>690</v>
      </c>
      <c r="AA63" s="15" t="str">
        <f>VLOOKUP(Z63*2,FINALGRADES,3,TRUE)</f>
        <v>MMM</v>
      </c>
      <c r="AB63" s="16" t="s">
        <v>23</v>
      </c>
      <c r="AC63" s="15">
        <f>IF(ISBLANK(AB63),0,VLOOKUP(AB63,UNITGRADES,2,FALSE))</f>
        <v>70</v>
      </c>
      <c r="AD63" s="16" t="s">
        <v>24</v>
      </c>
      <c r="AE63" s="15">
        <f>IF(ISBLANK(AD63),0,VLOOKUP(AD63,UNITGRADES,2,FALSE))</f>
        <v>80</v>
      </c>
      <c r="AF63" s="16" t="s">
        <v>24</v>
      </c>
      <c r="AG63" s="15">
        <f>IF(ISBLANK(AF63),0,VLOOKUP(AF63,UNITGRADES,2,FALSE))</f>
        <v>80</v>
      </c>
      <c r="AH63" s="16" t="s">
        <v>25</v>
      </c>
      <c r="AI63" s="15">
        <f>IF(ISBLANK(AH63),0,VLOOKUP(AH63,UNITGRADES,2,FALSE))</f>
        <v>90</v>
      </c>
      <c r="AJ63" s="16" t="s">
        <v>25</v>
      </c>
      <c r="AK63" s="15">
        <f>IF(ISBLANK(AJ63),0,VLOOKUP(AJ63,UNITGRADES,2,FALSE))</f>
        <v>90</v>
      </c>
      <c r="AL63" s="16" t="s">
        <v>25</v>
      </c>
      <c r="AM63" s="15">
        <f>IF(ISBLANK(AL63),0,VLOOKUP(AL63,UNITGRADES,2,FALSE))</f>
        <v>90</v>
      </c>
      <c r="AN63" s="16" t="s">
        <v>23</v>
      </c>
      <c r="AO63" s="15">
        <f>IF(ISBLANK(AN63),0,VLOOKUP(AN63,UNITGRADES,2,FALSE))</f>
        <v>70</v>
      </c>
      <c r="AP63" s="16" t="s">
        <v>24</v>
      </c>
      <c r="AQ63" s="15">
        <f>IF(ISBLANK(AP63),0,VLOOKUP(AP63,UNITGRADES,2,FALSE))</f>
        <v>80</v>
      </c>
      <c r="AR63" s="16" t="s">
        <v>23</v>
      </c>
      <c r="AS63" s="11">
        <f>IF(ISBLANK(AR63),0,VLOOKUP(AR63,UNITGRADES,2,FALSE))</f>
        <v>70</v>
      </c>
      <c r="AT63" s="13">
        <f t="shared" si="1"/>
        <v>7</v>
      </c>
      <c r="AU63" s="13">
        <f t="shared" si="2"/>
        <v>6</v>
      </c>
      <c r="AV63" s="13">
        <f t="shared" si="3"/>
        <v>5</v>
      </c>
      <c r="AW63" s="17">
        <f t="shared" si="4"/>
        <v>1340</v>
      </c>
      <c r="AX63" s="18" t="str">
        <f>VLOOKUP(AW63,FINALGRADES,3,TRUE)</f>
        <v>MMP</v>
      </c>
      <c r="AY63" s="10">
        <f>VLOOKUP(AW63,FINALGRADES,4,TRUE)</f>
        <v>200</v>
      </c>
      <c r="AZ63" s="11">
        <f>VLOOKUP(G63,TARGETPOINTS,2,FALSE)</f>
        <v>120</v>
      </c>
      <c r="BA63" s="11" t="str">
        <f t="shared" si="5"/>
        <v>Over</v>
      </c>
      <c r="BB63" s="10"/>
      <c r="BC63" s="11"/>
      <c r="BD63" s="11"/>
    </row>
    <row r="64" spans="1:56" ht="11.25" customHeight="1">
      <c r="A64" s="13">
        <v>3</v>
      </c>
      <c r="B64" s="13">
        <v>9791063</v>
      </c>
      <c r="C64" s="12" t="s">
        <v>148</v>
      </c>
      <c r="D64" s="12" t="s">
        <v>149</v>
      </c>
      <c r="E64" s="13" t="s">
        <v>24</v>
      </c>
      <c r="F64" s="14">
        <v>33334</v>
      </c>
      <c r="G64" s="13" t="s">
        <v>37</v>
      </c>
      <c r="H64" s="16" t="s">
        <v>24</v>
      </c>
      <c r="I64" s="15">
        <f>IF(ISBLANK(H64),0,VLOOKUP(H64,UNITGRADES,2,FALSE))</f>
        <v>80</v>
      </c>
      <c r="J64" s="16" t="s">
        <v>25</v>
      </c>
      <c r="K64" s="15">
        <f>IF(ISBLANK(J64),0,VLOOKUP(J64,UNITGRADES,2,FALSE))</f>
        <v>90</v>
      </c>
      <c r="L64" s="16" t="s">
        <v>24</v>
      </c>
      <c r="M64" s="15">
        <f>IF(ISBLANK(L64),0,VLOOKUP(L64,UNITGRADES,2,FALSE))</f>
        <v>80</v>
      </c>
      <c r="N64" s="16" t="s">
        <v>25</v>
      </c>
      <c r="O64" s="15">
        <f>IF(ISBLANK(N64),0,VLOOKUP(N64,UNITGRADES,2,FALSE))</f>
        <v>90</v>
      </c>
      <c r="P64" s="16" t="s">
        <v>25</v>
      </c>
      <c r="Q64" s="15">
        <f>IF(ISBLANK(P64),0,VLOOKUP(P64,UNITGRADES,2,FALSE))</f>
        <v>90</v>
      </c>
      <c r="R64" s="16" t="s">
        <v>24</v>
      </c>
      <c r="S64" s="15">
        <f>IF(ISBLANK(R64),0,VLOOKUP(R64,UNITGRADES,2,FALSE))</f>
        <v>80</v>
      </c>
      <c r="T64" s="16" t="s">
        <v>23</v>
      </c>
      <c r="U64" s="15">
        <f>IF(ISBLANK(T64),0,VLOOKUP(T64,UNITGRADES,2,FALSE))</f>
        <v>70</v>
      </c>
      <c r="V64" s="16" t="s">
        <v>23</v>
      </c>
      <c r="W64" s="15">
        <f>IF(ISBLANK(H64),0,VLOOKUP(H64,UNITGRADES,2,FALSE))</f>
        <v>80</v>
      </c>
      <c r="X64" s="16" t="s">
        <v>23</v>
      </c>
      <c r="Y64" s="15">
        <f>IF(ISBLANK(X64),0,VLOOKUP(X64,UNITGRADES,2,FALSE))</f>
        <v>70</v>
      </c>
      <c r="Z64" s="15">
        <f t="shared" si="0"/>
        <v>730</v>
      </c>
      <c r="AA64" s="15" t="str">
        <f>VLOOKUP(Z64*2,FINALGRADES,3,TRUE)</f>
        <v>DDM</v>
      </c>
      <c r="AB64" s="16" t="s">
        <v>23</v>
      </c>
      <c r="AC64" s="15">
        <f>IF(ISBLANK(AB64),0,VLOOKUP(AB64,UNITGRADES,2,FALSE))</f>
        <v>70</v>
      </c>
      <c r="AD64" s="16" t="s">
        <v>24</v>
      </c>
      <c r="AE64" s="15">
        <f>IF(ISBLANK(AD64),0,VLOOKUP(AD64,UNITGRADES,2,FALSE))</f>
        <v>80</v>
      </c>
      <c r="AF64" s="16" t="s">
        <v>24</v>
      </c>
      <c r="AG64" s="15">
        <f>IF(ISBLANK(AF64),0,VLOOKUP(AF64,UNITGRADES,2,FALSE))</f>
        <v>80</v>
      </c>
      <c r="AH64" s="16" t="s">
        <v>23</v>
      </c>
      <c r="AI64" s="15">
        <f>IF(ISBLANK(AH64),0,VLOOKUP(AH64,UNITGRADES,2,FALSE))</f>
        <v>70</v>
      </c>
      <c r="AJ64" s="16" t="s">
        <v>23</v>
      </c>
      <c r="AK64" s="15">
        <f>IF(ISBLANK(AJ64),0,VLOOKUP(AJ64,UNITGRADES,2,FALSE))</f>
        <v>70</v>
      </c>
      <c r="AL64" s="16" t="s">
        <v>24</v>
      </c>
      <c r="AM64" s="15">
        <f>IF(ISBLANK(AL64),0,VLOOKUP(AL64,UNITGRADES,2,FALSE))</f>
        <v>80</v>
      </c>
      <c r="AN64" s="16" t="s">
        <v>25</v>
      </c>
      <c r="AO64" s="15">
        <f>IF(ISBLANK(AN64),0,VLOOKUP(AN64,UNITGRADES,2,FALSE))</f>
        <v>90</v>
      </c>
      <c r="AP64" s="16" t="s">
        <v>23</v>
      </c>
      <c r="AQ64" s="15">
        <f>IF(ISBLANK(AP64),0,VLOOKUP(AP64,UNITGRADES,2,FALSE))</f>
        <v>70</v>
      </c>
      <c r="AR64" s="16" t="s">
        <v>24</v>
      </c>
      <c r="AS64" s="11">
        <f>IF(ISBLANK(AR64),0,VLOOKUP(AR64,UNITGRADES,2,FALSE))</f>
        <v>80</v>
      </c>
      <c r="AT64" s="13">
        <f t="shared" si="1"/>
        <v>7</v>
      </c>
      <c r="AU64" s="13">
        <f t="shared" si="2"/>
        <v>7</v>
      </c>
      <c r="AV64" s="13">
        <f t="shared" si="3"/>
        <v>4</v>
      </c>
      <c r="AW64" s="17">
        <f t="shared" si="4"/>
        <v>1340</v>
      </c>
      <c r="AX64" s="18" t="str">
        <f>VLOOKUP(AW64,FINALGRADES,3,TRUE)</f>
        <v>MMP</v>
      </c>
      <c r="AY64" s="10">
        <f>VLOOKUP(AW64,FINALGRADES,4,TRUE)</f>
        <v>200</v>
      </c>
      <c r="AZ64" s="11">
        <f>VLOOKUP(G64,TARGETPOINTS,2,FALSE)</f>
        <v>120</v>
      </c>
      <c r="BA64" s="11" t="str">
        <f t="shared" si="5"/>
        <v>Over</v>
      </c>
      <c r="BB64" s="10"/>
      <c r="BC64" s="11"/>
      <c r="BD64" s="11"/>
    </row>
    <row r="65" spans="1:56" ht="11.25" customHeight="1">
      <c r="A65" s="13">
        <v>2</v>
      </c>
      <c r="B65" s="13">
        <v>8970549</v>
      </c>
      <c r="C65" s="12" t="s">
        <v>150</v>
      </c>
      <c r="D65" s="12" t="s">
        <v>151</v>
      </c>
      <c r="E65" s="13" t="s">
        <v>24</v>
      </c>
      <c r="F65" s="14">
        <v>33728</v>
      </c>
      <c r="G65" s="13" t="s">
        <v>65</v>
      </c>
      <c r="H65" s="16" t="s">
        <v>25</v>
      </c>
      <c r="I65" s="15">
        <f>IF(ISBLANK(H65),0,VLOOKUP(H65,UNITGRADES,2,FALSE))</f>
        <v>90</v>
      </c>
      <c r="J65" s="16" t="s">
        <v>25</v>
      </c>
      <c r="K65" s="15">
        <f>IF(ISBLANK(J65),0,VLOOKUP(J65,UNITGRADES,2,FALSE))</f>
        <v>90</v>
      </c>
      <c r="L65" s="16" t="s">
        <v>25</v>
      </c>
      <c r="M65" s="15">
        <f>IF(ISBLANK(L65),0,VLOOKUP(L65,UNITGRADES,2,FALSE))</f>
        <v>90</v>
      </c>
      <c r="N65" s="16" t="s">
        <v>23</v>
      </c>
      <c r="O65" s="15">
        <f>IF(ISBLANK(N65),0,VLOOKUP(N65,UNITGRADES,2,FALSE))</f>
        <v>70</v>
      </c>
      <c r="P65" s="16" t="s">
        <v>25</v>
      </c>
      <c r="Q65" s="15">
        <f>IF(ISBLANK(P65),0,VLOOKUP(P65,UNITGRADES,2,FALSE))</f>
        <v>90</v>
      </c>
      <c r="R65" s="16" t="s">
        <v>23</v>
      </c>
      <c r="S65" s="15">
        <f>IF(ISBLANK(R65),0,VLOOKUP(R65,UNITGRADES,2,FALSE))</f>
        <v>70</v>
      </c>
      <c r="T65" s="16" t="s">
        <v>23</v>
      </c>
      <c r="U65" s="15">
        <f>IF(ISBLANK(T65),0,VLOOKUP(T65,UNITGRADES,2,FALSE))</f>
        <v>70</v>
      </c>
      <c r="V65" s="16" t="s">
        <v>25</v>
      </c>
      <c r="W65" s="15">
        <f>IF(ISBLANK(H65),0,VLOOKUP(H65,UNITGRADES,2,FALSE))</f>
        <v>90</v>
      </c>
      <c r="X65" s="16" t="s">
        <v>24</v>
      </c>
      <c r="Y65" s="15">
        <f>IF(ISBLANK(X65),0,VLOOKUP(X65,UNITGRADES,2,FALSE))</f>
        <v>80</v>
      </c>
      <c r="Z65" s="15">
        <f t="shared" si="0"/>
        <v>740</v>
      </c>
      <c r="AA65" s="15" t="str">
        <f>VLOOKUP(Z65*2,FINALGRADES,3,TRUE)</f>
        <v>DDM</v>
      </c>
      <c r="AB65" s="16" t="s">
        <v>24</v>
      </c>
      <c r="AC65" s="15">
        <f>IF(ISBLANK(AB65),0,VLOOKUP(AB65,UNITGRADES,2,FALSE))</f>
        <v>80</v>
      </c>
      <c r="AD65" s="16" t="s">
        <v>23</v>
      </c>
      <c r="AE65" s="15">
        <f>IF(ISBLANK(AD65),0,VLOOKUP(AD65,UNITGRADES,2,FALSE))</f>
        <v>70</v>
      </c>
      <c r="AF65" s="16" t="s">
        <v>24</v>
      </c>
      <c r="AG65" s="15">
        <f>IF(ISBLANK(AF65),0,VLOOKUP(AF65,UNITGRADES,2,FALSE))</f>
        <v>80</v>
      </c>
      <c r="AH65" s="16" t="s">
        <v>23</v>
      </c>
      <c r="AI65" s="15">
        <f>IF(ISBLANK(AH65),0,VLOOKUP(AH65,UNITGRADES,2,FALSE))</f>
        <v>70</v>
      </c>
      <c r="AJ65" s="16" t="s">
        <v>25</v>
      </c>
      <c r="AK65" s="15">
        <f>IF(ISBLANK(AJ65),0,VLOOKUP(AJ65,UNITGRADES,2,FALSE))</f>
        <v>90</v>
      </c>
      <c r="AL65" s="16" t="s">
        <v>24</v>
      </c>
      <c r="AM65" s="15">
        <f>IF(ISBLANK(AL65),0,VLOOKUP(AL65,UNITGRADES,2,FALSE))</f>
        <v>80</v>
      </c>
      <c r="AN65" s="16" t="s">
        <v>23</v>
      </c>
      <c r="AO65" s="15">
        <f>IF(ISBLANK(AN65),0,VLOOKUP(AN65,UNITGRADES,2,FALSE))</f>
        <v>70</v>
      </c>
      <c r="AP65" s="16" t="s">
        <v>23</v>
      </c>
      <c r="AQ65" s="15">
        <f>IF(ISBLANK(AP65),0,VLOOKUP(AP65,UNITGRADES,2,FALSE))</f>
        <v>70</v>
      </c>
      <c r="AR65" s="16" t="s">
        <v>25</v>
      </c>
      <c r="AS65" s="11">
        <f>IF(ISBLANK(AR65),0,VLOOKUP(AR65,UNITGRADES,2,FALSE))</f>
        <v>90</v>
      </c>
      <c r="AT65" s="13">
        <f t="shared" si="1"/>
        <v>7</v>
      </c>
      <c r="AU65" s="13">
        <f t="shared" si="2"/>
        <v>4</v>
      </c>
      <c r="AV65" s="13">
        <f t="shared" si="3"/>
        <v>7</v>
      </c>
      <c r="AW65" s="17">
        <f t="shared" si="4"/>
        <v>1350</v>
      </c>
      <c r="AX65" s="18" t="str">
        <f>VLOOKUP(AW65,FINALGRADES,3,TRUE)</f>
        <v>MMP</v>
      </c>
      <c r="AY65" s="10">
        <f>VLOOKUP(AW65,FINALGRADES,4,TRUE)</f>
        <v>200</v>
      </c>
      <c r="AZ65" s="11">
        <f>VLOOKUP(G65,TARGETPOINTS,2,FALSE)</f>
        <v>280</v>
      </c>
      <c r="BA65" s="11" t="str">
        <f t="shared" si="5"/>
        <v>Under</v>
      </c>
      <c r="BB65" s="10"/>
      <c r="BC65" s="11"/>
      <c r="BD65" s="11"/>
    </row>
    <row r="66" spans="1:56" ht="11.25" customHeight="1">
      <c r="A66" s="13">
        <v>2</v>
      </c>
      <c r="B66" s="13">
        <v>8537633</v>
      </c>
      <c r="C66" s="12" t="s">
        <v>152</v>
      </c>
      <c r="D66" s="12" t="s">
        <v>153</v>
      </c>
      <c r="E66" s="13" t="s">
        <v>24</v>
      </c>
      <c r="F66" s="14">
        <v>33399</v>
      </c>
      <c r="G66" s="13" t="s">
        <v>29</v>
      </c>
      <c r="H66" s="16" t="s">
        <v>23</v>
      </c>
      <c r="I66" s="15">
        <f>IF(ISBLANK(H66),0,VLOOKUP(H66,UNITGRADES,2,FALSE))</f>
        <v>70</v>
      </c>
      <c r="J66" s="16" t="s">
        <v>24</v>
      </c>
      <c r="K66" s="15">
        <f>IF(ISBLANK(J66),0,VLOOKUP(J66,UNITGRADES,2,FALSE))</f>
        <v>80</v>
      </c>
      <c r="L66" s="16" t="s">
        <v>24</v>
      </c>
      <c r="M66" s="15">
        <f>IF(ISBLANK(L66),0,VLOOKUP(L66,UNITGRADES,2,FALSE))</f>
        <v>80</v>
      </c>
      <c r="N66" s="16" t="s">
        <v>23</v>
      </c>
      <c r="O66" s="15">
        <f>IF(ISBLANK(N66),0,VLOOKUP(N66,UNITGRADES,2,FALSE))</f>
        <v>70</v>
      </c>
      <c r="P66" s="16" t="s">
        <v>25</v>
      </c>
      <c r="Q66" s="15">
        <f>IF(ISBLANK(P66),0,VLOOKUP(P66,UNITGRADES,2,FALSE))</f>
        <v>90</v>
      </c>
      <c r="R66" s="16" t="s">
        <v>25</v>
      </c>
      <c r="S66" s="15">
        <f>IF(ISBLANK(R66),0,VLOOKUP(R66,UNITGRADES,2,FALSE))</f>
        <v>90</v>
      </c>
      <c r="T66" s="16" t="s">
        <v>25</v>
      </c>
      <c r="U66" s="15">
        <f>IF(ISBLANK(T66),0,VLOOKUP(T66,UNITGRADES,2,FALSE))</f>
        <v>90</v>
      </c>
      <c r="V66" s="16" t="s">
        <v>24</v>
      </c>
      <c r="W66" s="15">
        <f>IF(ISBLANK(H66),0,VLOOKUP(H66,UNITGRADES,2,FALSE))</f>
        <v>70</v>
      </c>
      <c r="X66" s="16" t="s">
        <v>23</v>
      </c>
      <c r="Y66" s="15">
        <f>IF(ISBLANK(X66),0,VLOOKUP(X66,UNITGRADES,2,FALSE))</f>
        <v>70</v>
      </c>
      <c r="Z66" s="15">
        <f t="shared" si="0"/>
        <v>710</v>
      </c>
      <c r="AA66" s="15" t="str">
        <f>VLOOKUP(Z66*2,FINALGRADES,3,TRUE)</f>
        <v>DMM</v>
      </c>
      <c r="AB66" s="16" t="s">
        <v>25</v>
      </c>
      <c r="AC66" s="15">
        <f>IF(ISBLANK(AB66),0,VLOOKUP(AB66,UNITGRADES,2,FALSE))</f>
        <v>90</v>
      </c>
      <c r="AD66" s="16" t="s">
        <v>24</v>
      </c>
      <c r="AE66" s="15">
        <f>IF(ISBLANK(AD66),0,VLOOKUP(AD66,UNITGRADES,2,FALSE))</f>
        <v>80</v>
      </c>
      <c r="AF66" s="16" t="s">
        <v>24</v>
      </c>
      <c r="AG66" s="15">
        <f>IF(ISBLANK(AF66),0,VLOOKUP(AF66,UNITGRADES,2,FALSE))</f>
        <v>80</v>
      </c>
      <c r="AH66" s="16" t="s">
        <v>24</v>
      </c>
      <c r="AI66" s="15">
        <f>IF(ISBLANK(AH66),0,VLOOKUP(AH66,UNITGRADES,2,FALSE))</f>
        <v>80</v>
      </c>
      <c r="AJ66" s="16" t="s">
        <v>24</v>
      </c>
      <c r="AK66" s="15">
        <f>IF(ISBLANK(AJ66),0,VLOOKUP(AJ66,UNITGRADES,2,FALSE))</f>
        <v>80</v>
      </c>
      <c r="AL66" s="16" t="s">
        <v>25</v>
      </c>
      <c r="AM66" s="15">
        <f>IF(ISBLANK(AL66),0,VLOOKUP(AL66,UNITGRADES,2,FALSE))</f>
        <v>90</v>
      </c>
      <c r="AN66" s="16" t="s">
        <v>23</v>
      </c>
      <c r="AO66" s="15">
        <f>IF(ISBLANK(AN66),0,VLOOKUP(AN66,UNITGRADES,2,FALSE))</f>
        <v>70</v>
      </c>
      <c r="AP66" s="16" t="s">
        <v>23</v>
      </c>
      <c r="AQ66" s="15">
        <f>IF(ISBLANK(AP66),0,VLOOKUP(AP66,UNITGRADES,2,FALSE))</f>
        <v>70</v>
      </c>
      <c r="AR66" s="16" t="s">
        <v>24</v>
      </c>
      <c r="AS66" s="11">
        <f>IF(ISBLANK(AR66),0,VLOOKUP(AR66,UNITGRADES,2,FALSE))</f>
        <v>80</v>
      </c>
      <c r="AT66" s="13">
        <f t="shared" si="1"/>
        <v>5</v>
      </c>
      <c r="AU66" s="13">
        <f t="shared" si="2"/>
        <v>8</v>
      </c>
      <c r="AV66" s="13">
        <f t="shared" si="3"/>
        <v>5</v>
      </c>
      <c r="AW66" s="17">
        <f t="shared" si="4"/>
        <v>1350</v>
      </c>
      <c r="AX66" s="18" t="str">
        <f>VLOOKUP(AW66,FINALGRADES,3,TRUE)</f>
        <v>MMP</v>
      </c>
      <c r="AY66" s="10">
        <f>VLOOKUP(AW66,FINALGRADES,4,TRUE)</f>
        <v>200</v>
      </c>
      <c r="AZ66" s="11">
        <f>VLOOKUP(G66,TARGETPOINTS,2,FALSE)</f>
        <v>360</v>
      </c>
      <c r="BA66" s="11" t="str">
        <f t="shared" si="5"/>
        <v>Under</v>
      </c>
      <c r="BB66" s="10"/>
      <c r="BC66" s="11"/>
      <c r="BD66" s="11"/>
    </row>
    <row r="67" spans="1:56" ht="11.25" customHeight="1">
      <c r="A67" s="13">
        <v>4</v>
      </c>
      <c r="B67" s="13">
        <v>5137297</v>
      </c>
      <c r="C67" s="12" t="s">
        <v>154</v>
      </c>
      <c r="D67" s="12" t="s">
        <v>155</v>
      </c>
      <c r="E67" s="13" t="s">
        <v>24</v>
      </c>
      <c r="F67" s="14">
        <v>33430</v>
      </c>
      <c r="G67" s="13" t="s">
        <v>29</v>
      </c>
      <c r="H67" s="16" t="s">
        <v>25</v>
      </c>
      <c r="I67" s="15">
        <f>IF(ISBLANK(H67),0,VLOOKUP(H67,UNITGRADES,2,FALSE))</f>
        <v>90</v>
      </c>
      <c r="J67" s="16" t="s">
        <v>23</v>
      </c>
      <c r="K67" s="15">
        <f>IF(ISBLANK(J67),0,VLOOKUP(J67,UNITGRADES,2,FALSE))</f>
        <v>70</v>
      </c>
      <c r="L67" s="16" t="s">
        <v>23</v>
      </c>
      <c r="M67" s="15">
        <f>IF(ISBLANK(L67),0,VLOOKUP(L67,UNITGRADES,2,FALSE))</f>
        <v>70</v>
      </c>
      <c r="N67" s="16" t="s">
        <v>25</v>
      </c>
      <c r="O67" s="15">
        <f>IF(ISBLANK(N67),0,VLOOKUP(N67,UNITGRADES,2,FALSE))</f>
        <v>90</v>
      </c>
      <c r="P67" s="16" t="s">
        <v>24</v>
      </c>
      <c r="Q67" s="15">
        <f>IF(ISBLANK(P67),0,VLOOKUP(P67,UNITGRADES,2,FALSE))</f>
        <v>80</v>
      </c>
      <c r="R67" s="16" t="s">
        <v>23</v>
      </c>
      <c r="S67" s="15">
        <f>IF(ISBLANK(R67),0,VLOOKUP(R67,UNITGRADES,2,FALSE))</f>
        <v>70</v>
      </c>
      <c r="T67" s="16" t="s">
        <v>24</v>
      </c>
      <c r="U67" s="15">
        <f>IF(ISBLANK(T67),0,VLOOKUP(T67,UNITGRADES,2,FALSE))</f>
        <v>80</v>
      </c>
      <c r="V67" s="16" t="s">
        <v>25</v>
      </c>
      <c r="W67" s="15">
        <f>IF(ISBLANK(H67),0,VLOOKUP(H67,UNITGRADES,2,FALSE))</f>
        <v>90</v>
      </c>
      <c r="X67" s="16" t="s">
        <v>24</v>
      </c>
      <c r="Y67" s="15">
        <f>IF(ISBLANK(X67),0,VLOOKUP(X67,UNITGRADES,2,FALSE))</f>
        <v>80</v>
      </c>
      <c r="Z67" s="15">
        <f t="shared" si="0"/>
        <v>720</v>
      </c>
      <c r="AA67" s="15" t="str">
        <f>VLOOKUP(Z67*2,FINALGRADES,3,TRUE)</f>
        <v>DMM</v>
      </c>
      <c r="AB67" s="16" t="s">
        <v>24</v>
      </c>
      <c r="AC67" s="15">
        <f>IF(ISBLANK(AB67),0,VLOOKUP(AB67,UNITGRADES,2,FALSE))</f>
        <v>80</v>
      </c>
      <c r="AD67" s="16" t="s">
        <v>24</v>
      </c>
      <c r="AE67" s="15">
        <f>IF(ISBLANK(AD67),0,VLOOKUP(AD67,UNITGRADES,2,FALSE))</f>
        <v>80</v>
      </c>
      <c r="AF67" s="16" t="s">
        <v>24</v>
      </c>
      <c r="AG67" s="15">
        <f>IF(ISBLANK(AF67),0,VLOOKUP(AF67,UNITGRADES,2,FALSE))</f>
        <v>80</v>
      </c>
      <c r="AH67" s="16" t="s">
        <v>23</v>
      </c>
      <c r="AI67" s="15">
        <f>IF(ISBLANK(AH67),0,VLOOKUP(AH67,UNITGRADES,2,FALSE))</f>
        <v>70</v>
      </c>
      <c r="AJ67" s="16" t="s">
        <v>24</v>
      </c>
      <c r="AK67" s="15">
        <f>IF(ISBLANK(AJ67),0,VLOOKUP(AJ67,UNITGRADES,2,FALSE))</f>
        <v>80</v>
      </c>
      <c r="AL67" s="16" t="s">
        <v>23</v>
      </c>
      <c r="AM67" s="15">
        <f>IF(ISBLANK(AL67),0,VLOOKUP(AL67,UNITGRADES,2,FALSE))</f>
        <v>70</v>
      </c>
      <c r="AN67" s="16" t="s">
        <v>24</v>
      </c>
      <c r="AO67" s="15">
        <f>IF(ISBLANK(AN67),0,VLOOKUP(AN67,UNITGRADES,2,FALSE))</f>
        <v>80</v>
      </c>
      <c r="AP67" s="16" t="s">
        <v>25</v>
      </c>
      <c r="AQ67" s="15">
        <f>IF(ISBLANK(AP67),0,VLOOKUP(AP67,UNITGRADES,2,FALSE))</f>
        <v>90</v>
      </c>
      <c r="AR67" s="16" t="s">
        <v>24</v>
      </c>
      <c r="AS67" s="11">
        <f>IF(ISBLANK(AR67),0,VLOOKUP(AR67,UNITGRADES,2,FALSE))</f>
        <v>80</v>
      </c>
      <c r="AT67" s="13">
        <f t="shared" si="1"/>
        <v>5</v>
      </c>
      <c r="AU67" s="13">
        <f t="shared" si="2"/>
        <v>9</v>
      </c>
      <c r="AV67" s="13">
        <f t="shared" si="3"/>
        <v>4</v>
      </c>
      <c r="AW67" s="17">
        <f t="shared" si="4"/>
        <v>1350</v>
      </c>
      <c r="AX67" s="18" t="str">
        <f>VLOOKUP(AW67,FINALGRADES,3,TRUE)</f>
        <v>MMP</v>
      </c>
      <c r="AY67" s="10">
        <f>VLOOKUP(AW67,FINALGRADES,4,TRUE)</f>
        <v>200</v>
      </c>
      <c r="AZ67" s="11">
        <f>VLOOKUP(G67,TARGETPOINTS,2,FALSE)</f>
        <v>360</v>
      </c>
      <c r="BA67" s="11" t="str">
        <f t="shared" si="5"/>
        <v>Under</v>
      </c>
      <c r="BB67" s="10"/>
      <c r="BC67" s="11"/>
      <c r="BD67" s="11"/>
    </row>
    <row r="68" spans="1:56" ht="11.25" customHeight="1">
      <c r="A68" s="13">
        <v>4</v>
      </c>
      <c r="B68" s="13">
        <v>9160973</v>
      </c>
      <c r="C68" s="12" t="s">
        <v>156</v>
      </c>
      <c r="D68" s="12" t="s">
        <v>157</v>
      </c>
      <c r="E68" s="13" t="s">
        <v>24</v>
      </c>
      <c r="F68" s="14">
        <v>33777</v>
      </c>
      <c r="G68" s="13" t="s">
        <v>65</v>
      </c>
      <c r="H68" s="16" t="s">
        <v>23</v>
      </c>
      <c r="I68" s="15">
        <f>IF(ISBLANK(H68),0,VLOOKUP(H68,UNITGRADES,2,FALSE))</f>
        <v>70</v>
      </c>
      <c r="J68" s="16" t="s">
        <v>25</v>
      </c>
      <c r="K68" s="15">
        <f>IF(ISBLANK(J68),0,VLOOKUP(J68,UNITGRADES,2,FALSE))</f>
        <v>90</v>
      </c>
      <c r="L68" s="16" t="s">
        <v>24</v>
      </c>
      <c r="M68" s="15">
        <f>IF(ISBLANK(L68),0,VLOOKUP(L68,UNITGRADES,2,FALSE))</f>
        <v>80</v>
      </c>
      <c r="N68" s="16" t="s">
        <v>23</v>
      </c>
      <c r="O68" s="15">
        <f>IF(ISBLANK(N68),0,VLOOKUP(N68,UNITGRADES,2,FALSE))</f>
        <v>70</v>
      </c>
      <c r="P68" s="16" t="s">
        <v>24</v>
      </c>
      <c r="Q68" s="15">
        <f>IF(ISBLANK(P68),0,VLOOKUP(P68,UNITGRADES,2,FALSE))</f>
        <v>80</v>
      </c>
      <c r="R68" s="16" t="s">
        <v>25</v>
      </c>
      <c r="S68" s="15">
        <f>IF(ISBLANK(R68),0,VLOOKUP(R68,UNITGRADES,2,FALSE))</f>
        <v>90</v>
      </c>
      <c r="T68" s="16" t="s">
        <v>24</v>
      </c>
      <c r="U68" s="15">
        <f>IF(ISBLANK(T68),0,VLOOKUP(T68,UNITGRADES,2,FALSE))</f>
        <v>80</v>
      </c>
      <c r="V68" s="16" t="s">
        <v>25</v>
      </c>
      <c r="W68" s="15">
        <f>IF(ISBLANK(H68),0,VLOOKUP(H68,UNITGRADES,2,FALSE))</f>
        <v>70</v>
      </c>
      <c r="X68" s="16" t="s">
        <v>23</v>
      </c>
      <c r="Y68" s="15">
        <f>IF(ISBLANK(X68),0,VLOOKUP(X68,UNITGRADES,2,FALSE))</f>
        <v>70</v>
      </c>
      <c r="Z68" s="15">
        <f t="shared" si="0"/>
        <v>700</v>
      </c>
      <c r="AA68" s="15" t="str">
        <f>VLOOKUP(Z68*2,FINALGRADES,3,TRUE)</f>
        <v>MMM</v>
      </c>
      <c r="AB68" s="16" t="s">
        <v>25</v>
      </c>
      <c r="AC68" s="15">
        <f>IF(ISBLANK(AB68),0,VLOOKUP(AB68,UNITGRADES,2,FALSE))</f>
        <v>90</v>
      </c>
      <c r="AD68" s="16" t="s">
        <v>24</v>
      </c>
      <c r="AE68" s="15">
        <f>IF(ISBLANK(AD68),0,VLOOKUP(AD68,UNITGRADES,2,FALSE))</f>
        <v>80</v>
      </c>
      <c r="AF68" s="16" t="s">
        <v>23</v>
      </c>
      <c r="AG68" s="15">
        <f>IF(ISBLANK(AF68),0,VLOOKUP(AF68,UNITGRADES,2,FALSE))</f>
        <v>70</v>
      </c>
      <c r="AH68" s="16" t="s">
        <v>24</v>
      </c>
      <c r="AI68" s="15">
        <f>IF(ISBLANK(AH68),0,VLOOKUP(AH68,UNITGRADES,2,FALSE))</f>
        <v>80</v>
      </c>
      <c r="AJ68" s="16" t="s">
        <v>24</v>
      </c>
      <c r="AK68" s="15">
        <f>IF(ISBLANK(AJ68),0,VLOOKUP(AJ68,UNITGRADES,2,FALSE))</f>
        <v>80</v>
      </c>
      <c r="AL68" s="16" t="s">
        <v>25</v>
      </c>
      <c r="AM68" s="15">
        <f>IF(ISBLANK(AL68),0,VLOOKUP(AL68,UNITGRADES,2,FALSE))</f>
        <v>90</v>
      </c>
      <c r="AN68" s="16" t="s">
        <v>23</v>
      </c>
      <c r="AO68" s="15">
        <f>IF(ISBLANK(AN68),0,VLOOKUP(AN68,UNITGRADES,2,FALSE))</f>
        <v>70</v>
      </c>
      <c r="AP68" s="16" t="s">
        <v>25</v>
      </c>
      <c r="AQ68" s="15">
        <f>IF(ISBLANK(AP68),0,VLOOKUP(AP68,UNITGRADES,2,FALSE))</f>
        <v>90</v>
      </c>
      <c r="AR68" s="16" t="s">
        <v>23</v>
      </c>
      <c r="AS68" s="11">
        <f>IF(ISBLANK(AR68),0,VLOOKUP(AR68,UNITGRADES,2,FALSE))</f>
        <v>70</v>
      </c>
      <c r="AT68" s="13">
        <f t="shared" si="1"/>
        <v>6</v>
      </c>
      <c r="AU68" s="13">
        <f t="shared" si="2"/>
        <v>6</v>
      </c>
      <c r="AV68" s="13">
        <f t="shared" si="3"/>
        <v>6</v>
      </c>
      <c r="AW68" s="17">
        <f t="shared" si="4"/>
        <v>1350</v>
      </c>
      <c r="AX68" s="18" t="str">
        <f>VLOOKUP(AW68,FINALGRADES,3,TRUE)</f>
        <v>MMP</v>
      </c>
      <c r="AY68" s="10">
        <f>VLOOKUP(AW68,FINALGRADES,4,TRUE)</f>
        <v>200</v>
      </c>
      <c r="AZ68" s="11">
        <f>VLOOKUP(G68,TARGETPOINTS,2,FALSE)</f>
        <v>280</v>
      </c>
      <c r="BA68" s="11" t="str">
        <f t="shared" si="5"/>
        <v>Under</v>
      </c>
      <c r="BB68" s="10"/>
      <c r="BC68" s="11"/>
      <c r="BD68" s="11"/>
    </row>
    <row r="69" spans="1:56" ht="11.25" customHeight="1">
      <c r="A69" s="13">
        <v>1</v>
      </c>
      <c r="B69" s="13">
        <v>8443287</v>
      </c>
      <c r="C69" s="12" t="s">
        <v>158</v>
      </c>
      <c r="D69" s="12" t="s">
        <v>159</v>
      </c>
      <c r="E69" s="13" t="s">
        <v>24</v>
      </c>
      <c r="F69" s="14">
        <v>33737</v>
      </c>
      <c r="G69" s="13" t="s">
        <v>29</v>
      </c>
      <c r="H69" s="16" t="s">
        <v>23</v>
      </c>
      <c r="I69" s="15">
        <f>IF(ISBLANK(H69),0,VLOOKUP(H69,UNITGRADES,2,FALSE))</f>
        <v>70</v>
      </c>
      <c r="J69" s="16" t="s">
        <v>24</v>
      </c>
      <c r="K69" s="15">
        <f>IF(ISBLANK(J69),0,VLOOKUP(J69,UNITGRADES,2,FALSE))</f>
        <v>80</v>
      </c>
      <c r="L69" s="16" t="s">
        <v>25</v>
      </c>
      <c r="M69" s="15">
        <f>IF(ISBLANK(L69),0,VLOOKUP(L69,UNITGRADES,2,FALSE))</f>
        <v>90</v>
      </c>
      <c r="N69" s="16" t="s">
        <v>23</v>
      </c>
      <c r="O69" s="15">
        <f>IF(ISBLANK(N69),0,VLOOKUP(N69,UNITGRADES,2,FALSE))</f>
        <v>70</v>
      </c>
      <c r="P69" s="16" t="s">
        <v>24</v>
      </c>
      <c r="Q69" s="15">
        <f>IF(ISBLANK(P69),0,VLOOKUP(P69,UNITGRADES,2,FALSE))</f>
        <v>80</v>
      </c>
      <c r="R69" s="16" t="s">
        <v>25</v>
      </c>
      <c r="S69" s="15">
        <f>IF(ISBLANK(R69),0,VLOOKUP(R69,UNITGRADES,2,FALSE))</f>
        <v>90</v>
      </c>
      <c r="T69" s="16" t="s">
        <v>25</v>
      </c>
      <c r="U69" s="15">
        <f>IF(ISBLANK(T69),0,VLOOKUP(T69,UNITGRADES,2,FALSE))</f>
        <v>90</v>
      </c>
      <c r="V69" s="16" t="s">
        <v>25</v>
      </c>
      <c r="W69" s="15">
        <f>IF(ISBLANK(H69),0,VLOOKUP(H69,UNITGRADES,2,FALSE))</f>
        <v>70</v>
      </c>
      <c r="X69" s="16" t="s">
        <v>25</v>
      </c>
      <c r="Y69" s="15">
        <f>IF(ISBLANK(X69),0,VLOOKUP(X69,UNITGRADES,2,FALSE))</f>
        <v>90</v>
      </c>
      <c r="Z69" s="15">
        <f t="shared" si="0"/>
        <v>730</v>
      </c>
      <c r="AA69" s="15" t="str">
        <f>VLOOKUP(Z69*2,FINALGRADES,3,TRUE)</f>
        <v>DDM</v>
      </c>
      <c r="AB69" s="16" t="s">
        <v>25</v>
      </c>
      <c r="AC69" s="15">
        <f>IF(ISBLANK(AB69),0,VLOOKUP(AB69,UNITGRADES,2,FALSE))</f>
        <v>90</v>
      </c>
      <c r="AD69" s="16" t="s">
        <v>23</v>
      </c>
      <c r="AE69" s="15">
        <f>IF(ISBLANK(AD69),0,VLOOKUP(AD69,UNITGRADES,2,FALSE))</f>
        <v>70</v>
      </c>
      <c r="AF69" s="16" t="s">
        <v>25</v>
      </c>
      <c r="AG69" s="15">
        <f>IF(ISBLANK(AF69),0,VLOOKUP(AF69,UNITGRADES,2,FALSE))</f>
        <v>90</v>
      </c>
      <c r="AH69" s="16" t="s">
        <v>23</v>
      </c>
      <c r="AI69" s="15">
        <f>IF(ISBLANK(AH69),0,VLOOKUP(AH69,UNITGRADES,2,FALSE))</f>
        <v>70</v>
      </c>
      <c r="AJ69" s="16" t="s">
        <v>23</v>
      </c>
      <c r="AK69" s="15">
        <f>IF(ISBLANK(AJ69),0,VLOOKUP(AJ69,UNITGRADES,2,FALSE))</f>
        <v>70</v>
      </c>
      <c r="AL69" s="16" t="s">
        <v>23</v>
      </c>
      <c r="AM69" s="15">
        <f>IF(ISBLANK(AL69),0,VLOOKUP(AL69,UNITGRADES,2,FALSE))</f>
        <v>70</v>
      </c>
      <c r="AN69" s="16" t="s">
        <v>24</v>
      </c>
      <c r="AO69" s="15">
        <f>IF(ISBLANK(AN69),0,VLOOKUP(AN69,UNITGRADES,2,FALSE))</f>
        <v>80</v>
      </c>
      <c r="AP69" s="16" t="s">
        <v>25</v>
      </c>
      <c r="AQ69" s="15">
        <f>IF(ISBLANK(AP69),0,VLOOKUP(AP69,UNITGRADES,2,FALSE))</f>
        <v>90</v>
      </c>
      <c r="AR69" s="16" t="s">
        <v>24</v>
      </c>
      <c r="AS69" s="11">
        <f>IF(ISBLANK(AR69),0,VLOOKUP(AR69,UNITGRADES,2,FALSE))</f>
        <v>80</v>
      </c>
      <c r="AT69" s="13">
        <f t="shared" si="1"/>
        <v>6</v>
      </c>
      <c r="AU69" s="13">
        <f t="shared" si="2"/>
        <v>4</v>
      </c>
      <c r="AV69" s="13">
        <f t="shared" si="3"/>
        <v>8</v>
      </c>
      <c r="AW69" s="17">
        <f t="shared" si="4"/>
        <v>1360</v>
      </c>
      <c r="AX69" s="18" t="str">
        <f>VLOOKUP(AW69,FINALGRADES,3,TRUE)</f>
        <v>MMP</v>
      </c>
      <c r="AY69" s="10">
        <f>VLOOKUP(AW69,FINALGRADES,4,TRUE)</f>
        <v>200</v>
      </c>
      <c r="AZ69" s="11">
        <f>VLOOKUP(G69,TARGETPOINTS,2,FALSE)</f>
        <v>360</v>
      </c>
      <c r="BA69" s="11" t="str">
        <f t="shared" si="5"/>
        <v>Under</v>
      </c>
      <c r="BB69" s="10"/>
      <c r="BC69" s="11"/>
      <c r="BD69" s="11"/>
    </row>
    <row r="70" spans="1:56" ht="11.25" customHeight="1">
      <c r="A70" s="13">
        <v>1</v>
      </c>
      <c r="B70" s="13">
        <v>6989754</v>
      </c>
      <c r="C70" s="12" t="s">
        <v>160</v>
      </c>
      <c r="D70" s="12" t="s">
        <v>161</v>
      </c>
      <c r="E70" s="13" t="s">
        <v>24</v>
      </c>
      <c r="F70" s="14">
        <v>33195</v>
      </c>
      <c r="G70" s="13" t="s">
        <v>37</v>
      </c>
      <c r="H70" s="16" t="s">
        <v>23</v>
      </c>
      <c r="I70" s="15">
        <f>IF(ISBLANK(H70),0,VLOOKUP(H70,UNITGRADES,2,FALSE))</f>
        <v>70</v>
      </c>
      <c r="J70" s="16" t="s">
        <v>25</v>
      </c>
      <c r="K70" s="15">
        <f>IF(ISBLANK(J70),0,VLOOKUP(J70,UNITGRADES,2,FALSE))</f>
        <v>90</v>
      </c>
      <c r="L70" s="16" t="s">
        <v>24</v>
      </c>
      <c r="M70" s="15">
        <f>IF(ISBLANK(L70),0,VLOOKUP(L70,UNITGRADES,2,FALSE))</f>
        <v>80</v>
      </c>
      <c r="N70" s="16" t="s">
        <v>24</v>
      </c>
      <c r="O70" s="15">
        <f>IF(ISBLANK(N70),0,VLOOKUP(N70,UNITGRADES,2,FALSE))</f>
        <v>80</v>
      </c>
      <c r="P70" s="16" t="s">
        <v>23</v>
      </c>
      <c r="Q70" s="15">
        <f>IF(ISBLANK(P70),0,VLOOKUP(P70,UNITGRADES,2,FALSE))</f>
        <v>70</v>
      </c>
      <c r="R70" s="16" t="s">
        <v>23</v>
      </c>
      <c r="S70" s="15">
        <f>IF(ISBLANK(R70),0,VLOOKUP(R70,UNITGRADES,2,FALSE))</f>
        <v>70</v>
      </c>
      <c r="T70" s="16" t="s">
        <v>25</v>
      </c>
      <c r="U70" s="15">
        <f>IF(ISBLANK(T70),0,VLOOKUP(T70,UNITGRADES,2,FALSE))</f>
        <v>90</v>
      </c>
      <c r="V70" s="16" t="s">
        <v>24</v>
      </c>
      <c r="W70" s="15">
        <f>IF(ISBLANK(H70),0,VLOOKUP(H70,UNITGRADES,2,FALSE))</f>
        <v>70</v>
      </c>
      <c r="X70" s="16" t="s">
        <v>25</v>
      </c>
      <c r="Y70" s="15">
        <f>IF(ISBLANK(X70),0,VLOOKUP(X70,UNITGRADES,2,FALSE))</f>
        <v>90</v>
      </c>
      <c r="Z70" s="15">
        <f t="shared" si="0"/>
        <v>710</v>
      </c>
      <c r="AA70" s="15" t="str">
        <f>VLOOKUP(Z70*2,FINALGRADES,3,TRUE)</f>
        <v>DMM</v>
      </c>
      <c r="AB70" s="16" t="s">
        <v>25</v>
      </c>
      <c r="AC70" s="15">
        <f>IF(ISBLANK(AB70),0,VLOOKUP(AB70,UNITGRADES,2,FALSE))</f>
        <v>90</v>
      </c>
      <c r="AD70" s="16" t="s">
        <v>23</v>
      </c>
      <c r="AE70" s="15">
        <f>IF(ISBLANK(AD70),0,VLOOKUP(AD70,UNITGRADES,2,FALSE))</f>
        <v>70</v>
      </c>
      <c r="AF70" s="16" t="s">
        <v>25</v>
      </c>
      <c r="AG70" s="15">
        <f>IF(ISBLANK(AF70),0,VLOOKUP(AF70,UNITGRADES,2,FALSE))</f>
        <v>90</v>
      </c>
      <c r="AH70" s="16" t="s">
        <v>25</v>
      </c>
      <c r="AI70" s="15">
        <f>IF(ISBLANK(AH70),0,VLOOKUP(AH70,UNITGRADES,2,FALSE))</f>
        <v>90</v>
      </c>
      <c r="AJ70" s="16" t="s">
        <v>24</v>
      </c>
      <c r="AK70" s="15">
        <f>IF(ISBLANK(AJ70),0,VLOOKUP(AJ70,UNITGRADES,2,FALSE))</f>
        <v>80</v>
      </c>
      <c r="AL70" s="16" t="s">
        <v>23</v>
      </c>
      <c r="AM70" s="15">
        <f>IF(ISBLANK(AL70),0,VLOOKUP(AL70,UNITGRADES,2,FALSE))</f>
        <v>70</v>
      </c>
      <c r="AN70" s="16" t="s">
        <v>24</v>
      </c>
      <c r="AO70" s="15">
        <f>IF(ISBLANK(AN70),0,VLOOKUP(AN70,UNITGRADES,2,FALSE))</f>
        <v>80</v>
      </c>
      <c r="AP70" s="16" t="s">
        <v>24</v>
      </c>
      <c r="AQ70" s="15">
        <f>IF(ISBLANK(AP70),0,VLOOKUP(AP70,UNITGRADES,2,FALSE))</f>
        <v>80</v>
      </c>
      <c r="AR70" s="16" t="s">
        <v>25</v>
      </c>
      <c r="AS70" s="11">
        <f>IF(ISBLANK(AR70),0,VLOOKUP(AR70,UNITGRADES,2,FALSE))</f>
        <v>90</v>
      </c>
      <c r="AT70" s="13">
        <f t="shared" si="1"/>
        <v>5</v>
      </c>
      <c r="AU70" s="13">
        <f t="shared" si="2"/>
        <v>6</v>
      </c>
      <c r="AV70" s="13">
        <f t="shared" si="3"/>
        <v>7</v>
      </c>
      <c r="AW70" s="17">
        <f t="shared" si="4"/>
        <v>1360</v>
      </c>
      <c r="AX70" s="18" t="str">
        <f>VLOOKUP(AW70,FINALGRADES,3,TRUE)</f>
        <v>MMP</v>
      </c>
      <c r="AY70" s="10">
        <f>VLOOKUP(AW70,FINALGRADES,4,TRUE)</f>
        <v>200</v>
      </c>
      <c r="AZ70" s="11">
        <f>VLOOKUP(G70,TARGETPOINTS,2,FALSE)</f>
        <v>120</v>
      </c>
      <c r="BA70" s="11" t="str">
        <f t="shared" si="5"/>
        <v>Over</v>
      </c>
      <c r="BB70" s="10"/>
      <c r="BC70" s="11"/>
      <c r="BD70" s="11"/>
    </row>
    <row r="71" spans="1:56" ht="11.25" customHeight="1">
      <c r="A71" s="13">
        <v>3</v>
      </c>
      <c r="B71" s="13">
        <v>6526911</v>
      </c>
      <c r="C71" s="12" t="s">
        <v>162</v>
      </c>
      <c r="D71" s="12" t="s">
        <v>163</v>
      </c>
      <c r="E71" s="13" t="s">
        <v>24</v>
      </c>
      <c r="F71" s="14">
        <v>33024</v>
      </c>
      <c r="G71" s="13" t="s">
        <v>29</v>
      </c>
      <c r="H71" s="16" t="s">
        <v>25</v>
      </c>
      <c r="I71" s="15">
        <f>IF(ISBLANK(H71),0,VLOOKUP(H71,UNITGRADES,2,FALSE))</f>
        <v>90</v>
      </c>
      <c r="J71" s="16" t="s">
        <v>24</v>
      </c>
      <c r="K71" s="15">
        <f>IF(ISBLANK(J71),0,VLOOKUP(J71,UNITGRADES,2,FALSE))</f>
        <v>80</v>
      </c>
      <c r="L71" s="16" t="s">
        <v>23</v>
      </c>
      <c r="M71" s="15">
        <f>IF(ISBLANK(L71),0,VLOOKUP(L71,UNITGRADES,2,FALSE))</f>
        <v>70</v>
      </c>
      <c r="N71" s="16" t="s">
        <v>24</v>
      </c>
      <c r="O71" s="15">
        <f>IF(ISBLANK(N71),0,VLOOKUP(N71,UNITGRADES,2,FALSE))</f>
        <v>80</v>
      </c>
      <c r="P71" s="16" t="s">
        <v>23</v>
      </c>
      <c r="Q71" s="15">
        <f>IF(ISBLANK(P71),0,VLOOKUP(P71,UNITGRADES,2,FALSE))</f>
        <v>70</v>
      </c>
      <c r="R71" s="16" t="s">
        <v>24</v>
      </c>
      <c r="S71" s="15">
        <f>IF(ISBLANK(R71),0,VLOOKUP(R71,UNITGRADES,2,FALSE))</f>
        <v>80</v>
      </c>
      <c r="T71" s="16" t="s">
        <v>24</v>
      </c>
      <c r="U71" s="15">
        <f>IF(ISBLANK(T71),0,VLOOKUP(T71,UNITGRADES,2,FALSE))</f>
        <v>80</v>
      </c>
      <c r="V71" s="16" t="s">
        <v>24</v>
      </c>
      <c r="W71" s="15">
        <f>IF(ISBLANK(H71),0,VLOOKUP(H71,UNITGRADES,2,FALSE))</f>
        <v>90</v>
      </c>
      <c r="X71" s="16" t="s">
        <v>24</v>
      </c>
      <c r="Y71" s="15">
        <f>IF(ISBLANK(X71),0,VLOOKUP(X71,UNITGRADES,2,FALSE))</f>
        <v>80</v>
      </c>
      <c r="Z71" s="15">
        <f t="shared" si="0"/>
        <v>720</v>
      </c>
      <c r="AA71" s="15" t="str">
        <f>VLOOKUP(Z71*2,FINALGRADES,3,TRUE)</f>
        <v>DMM</v>
      </c>
      <c r="AB71" s="16" t="s">
        <v>23</v>
      </c>
      <c r="AC71" s="15">
        <f>IF(ISBLANK(AB71),0,VLOOKUP(AB71,UNITGRADES,2,FALSE))</f>
        <v>70</v>
      </c>
      <c r="AD71" s="16" t="s">
        <v>25</v>
      </c>
      <c r="AE71" s="15">
        <f>IF(ISBLANK(AD71),0,VLOOKUP(AD71,UNITGRADES,2,FALSE))</f>
        <v>90</v>
      </c>
      <c r="AF71" s="16" t="s">
        <v>24</v>
      </c>
      <c r="AG71" s="15">
        <f>IF(ISBLANK(AF71),0,VLOOKUP(AF71,UNITGRADES,2,FALSE))</f>
        <v>80</v>
      </c>
      <c r="AH71" s="16" t="s">
        <v>24</v>
      </c>
      <c r="AI71" s="15">
        <f>IF(ISBLANK(AH71),0,VLOOKUP(AH71,UNITGRADES,2,FALSE))</f>
        <v>80</v>
      </c>
      <c r="AJ71" s="16" t="s">
        <v>23</v>
      </c>
      <c r="AK71" s="15">
        <f>IF(ISBLANK(AJ71),0,VLOOKUP(AJ71,UNITGRADES,2,FALSE))</f>
        <v>70</v>
      </c>
      <c r="AL71" s="16" t="s">
        <v>24</v>
      </c>
      <c r="AM71" s="15">
        <f>IF(ISBLANK(AL71),0,VLOOKUP(AL71,UNITGRADES,2,FALSE))</f>
        <v>80</v>
      </c>
      <c r="AN71" s="16" t="s">
        <v>25</v>
      </c>
      <c r="AO71" s="15">
        <f>IF(ISBLANK(AN71),0,VLOOKUP(AN71,UNITGRADES,2,FALSE))</f>
        <v>90</v>
      </c>
      <c r="AP71" s="16" t="s">
        <v>24</v>
      </c>
      <c r="AQ71" s="15">
        <f>IF(ISBLANK(AP71),0,VLOOKUP(AP71,UNITGRADES,2,FALSE))</f>
        <v>80</v>
      </c>
      <c r="AR71" s="16" t="s">
        <v>25</v>
      </c>
      <c r="AS71" s="11">
        <f>IF(ISBLANK(AR71),0,VLOOKUP(AR71,UNITGRADES,2,FALSE))</f>
        <v>90</v>
      </c>
      <c r="AT71" s="13">
        <f t="shared" si="1"/>
        <v>4</v>
      </c>
      <c r="AU71" s="13">
        <f t="shared" si="2"/>
        <v>10</v>
      </c>
      <c r="AV71" s="13">
        <f t="shared" si="3"/>
        <v>4</v>
      </c>
      <c r="AW71" s="17">
        <f t="shared" si="4"/>
        <v>1360</v>
      </c>
      <c r="AX71" s="18" t="str">
        <f>VLOOKUP(AW71,FINALGRADES,3,TRUE)</f>
        <v>MMP</v>
      </c>
      <c r="AY71" s="10">
        <f>VLOOKUP(AW71,FINALGRADES,4,TRUE)</f>
        <v>200</v>
      </c>
      <c r="AZ71" s="11">
        <f>VLOOKUP(G71,TARGETPOINTS,2,FALSE)</f>
        <v>360</v>
      </c>
      <c r="BA71" s="11" t="str">
        <f t="shared" si="5"/>
        <v>Under</v>
      </c>
      <c r="BB71" s="10"/>
      <c r="BC71" s="11"/>
      <c r="BD71" s="11"/>
    </row>
    <row r="72" spans="1:56" ht="11.25" customHeight="1">
      <c r="A72" s="13">
        <v>3</v>
      </c>
      <c r="B72" s="13">
        <v>8439095</v>
      </c>
      <c r="C72" s="12" t="s">
        <v>164</v>
      </c>
      <c r="D72" s="12" t="s">
        <v>165</v>
      </c>
      <c r="E72" s="13" t="s">
        <v>24</v>
      </c>
      <c r="F72" s="14">
        <v>33756</v>
      </c>
      <c r="G72" s="13" t="s">
        <v>37</v>
      </c>
      <c r="H72" s="16" t="s">
        <v>24</v>
      </c>
      <c r="I72" s="15">
        <f>IF(ISBLANK(H72),0,VLOOKUP(H72,UNITGRADES,2,FALSE))</f>
        <v>80</v>
      </c>
      <c r="J72" s="16" t="s">
        <v>23</v>
      </c>
      <c r="K72" s="15">
        <f>IF(ISBLANK(J72),0,VLOOKUP(J72,UNITGRADES,2,FALSE))</f>
        <v>70</v>
      </c>
      <c r="L72" s="16" t="s">
        <v>24</v>
      </c>
      <c r="M72" s="15">
        <f>IF(ISBLANK(L72),0,VLOOKUP(L72,UNITGRADES,2,FALSE))</f>
        <v>80</v>
      </c>
      <c r="N72" s="16" t="s">
        <v>24</v>
      </c>
      <c r="O72" s="15">
        <f>IF(ISBLANK(N72),0,VLOOKUP(N72,UNITGRADES,2,FALSE))</f>
        <v>80</v>
      </c>
      <c r="P72" s="16" t="s">
        <v>25</v>
      </c>
      <c r="Q72" s="15">
        <f>IF(ISBLANK(P72),0,VLOOKUP(P72,UNITGRADES,2,FALSE))</f>
        <v>90</v>
      </c>
      <c r="R72" s="16" t="s">
        <v>24</v>
      </c>
      <c r="S72" s="15">
        <f>IF(ISBLANK(R72),0,VLOOKUP(R72,UNITGRADES,2,FALSE))</f>
        <v>80</v>
      </c>
      <c r="T72" s="16" t="s">
        <v>24</v>
      </c>
      <c r="U72" s="15">
        <f>IF(ISBLANK(T72),0,VLOOKUP(T72,UNITGRADES,2,FALSE))</f>
        <v>80</v>
      </c>
      <c r="V72" s="16" t="s">
        <v>25</v>
      </c>
      <c r="W72" s="15">
        <f>IF(ISBLANK(H72),0,VLOOKUP(H72,UNITGRADES,2,FALSE))</f>
        <v>80</v>
      </c>
      <c r="X72" s="16" t="s">
        <v>24</v>
      </c>
      <c r="Y72" s="15">
        <f>IF(ISBLANK(X72),0,VLOOKUP(X72,UNITGRADES,2,FALSE))</f>
        <v>80</v>
      </c>
      <c r="Z72" s="15">
        <f t="shared" si="0"/>
        <v>720</v>
      </c>
      <c r="AA72" s="15" t="str">
        <f>VLOOKUP(Z72*2,FINALGRADES,3,TRUE)</f>
        <v>DMM</v>
      </c>
      <c r="AB72" s="16" t="s">
        <v>23</v>
      </c>
      <c r="AC72" s="15">
        <f>IF(ISBLANK(AB72),0,VLOOKUP(AB72,UNITGRADES,2,FALSE))</f>
        <v>70</v>
      </c>
      <c r="AD72" s="16" t="s">
        <v>24</v>
      </c>
      <c r="AE72" s="15">
        <f>IF(ISBLANK(AD72),0,VLOOKUP(AD72,UNITGRADES,2,FALSE))</f>
        <v>80</v>
      </c>
      <c r="AF72" s="16" t="s">
        <v>25</v>
      </c>
      <c r="AG72" s="15">
        <f>IF(ISBLANK(AF72),0,VLOOKUP(AF72,UNITGRADES,2,FALSE))</f>
        <v>90</v>
      </c>
      <c r="AH72" s="16" t="s">
        <v>23</v>
      </c>
      <c r="AI72" s="15">
        <f>IF(ISBLANK(AH72),0,VLOOKUP(AH72,UNITGRADES,2,FALSE))</f>
        <v>70</v>
      </c>
      <c r="AJ72" s="16" t="s">
        <v>25</v>
      </c>
      <c r="AK72" s="15">
        <f>IF(ISBLANK(AJ72),0,VLOOKUP(AJ72,UNITGRADES,2,FALSE))</f>
        <v>90</v>
      </c>
      <c r="AL72" s="16" t="s">
        <v>25</v>
      </c>
      <c r="AM72" s="15">
        <f>IF(ISBLANK(AL72),0,VLOOKUP(AL72,UNITGRADES,2,FALSE))</f>
        <v>90</v>
      </c>
      <c r="AN72" s="16" t="s">
        <v>24</v>
      </c>
      <c r="AO72" s="15">
        <f>IF(ISBLANK(AN72),0,VLOOKUP(AN72,UNITGRADES,2,FALSE))</f>
        <v>80</v>
      </c>
      <c r="AP72" s="16" t="s">
        <v>23</v>
      </c>
      <c r="AQ72" s="15">
        <f>IF(ISBLANK(AP72),0,VLOOKUP(AP72,UNITGRADES,2,FALSE))</f>
        <v>70</v>
      </c>
      <c r="AR72" s="16" t="s">
        <v>23</v>
      </c>
      <c r="AS72" s="11">
        <f>IF(ISBLANK(AR72),0,VLOOKUP(AR72,UNITGRADES,2,FALSE))</f>
        <v>70</v>
      </c>
      <c r="AT72" s="13">
        <f t="shared" si="1"/>
        <v>5</v>
      </c>
      <c r="AU72" s="13">
        <f t="shared" si="2"/>
        <v>8</v>
      </c>
      <c r="AV72" s="13">
        <f t="shared" si="3"/>
        <v>5</v>
      </c>
      <c r="AW72" s="17">
        <f t="shared" si="4"/>
        <v>1360</v>
      </c>
      <c r="AX72" s="18" t="str">
        <f>VLOOKUP(AW72,FINALGRADES,3,TRUE)</f>
        <v>MMP</v>
      </c>
      <c r="AY72" s="10">
        <f>VLOOKUP(AW72,FINALGRADES,4,TRUE)</f>
        <v>200</v>
      </c>
      <c r="AZ72" s="11">
        <f>VLOOKUP(G72,TARGETPOINTS,2,FALSE)</f>
        <v>120</v>
      </c>
      <c r="BA72" s="11" t="str">
        <f t="shared" si="5"/>
        <v>Over</v>
      </c>
      <c r="BB72" s="10"/>
      <c r="BC72" s="11"/>
      <c r="BD72" s="11"/>
    </row>
    <row r="73" spans="1:56" ht="11.25" customHeight="1">
      <c r="A73" s="13">
        <v>4</v>
      </c>
      <c r="B73" s="13">
        <v>5788647</v>
      </c>
      <c r="C73" s="12" t="s">
        <v>166</v>
      </c>
      <c r="D73" s="12" t="s">
        <v>167</v>
      </c>
      <c r="E73" s="13" t="s">
        <v>24</v>
      </c>
      <c r="F73" s="14">
        <v>33763</v>
      </c>
      <c r="G73" s="13" t="s">
        <v>32</v>
      </c>
      <c r="H73" s="16" t="s">
        <v>25</v>
      </c>
      <c r="I73" s="15">
        <f>IF(ISBLANK(H73),0,VLOOKUP(H73,UNITGRADES,2,FALSE))</f>
        <v>90</v>
      </c>
      <c r="J73" s="16" t="s">
        <v>24</v>
      </c>
      <c r="K73" s="15">
        <f>IF(ISBLANK(J73),0,VLOOKUP(J73,UNITGRADES,2,FALSE))</f>
        <v>80</v>
      </c>
      <c r="L73" s="16" t="s">
        <v>25</v>
      </c>
      <c r="M73" s="15">
        <f>IF(ISBLANK(L73),0,VLOOKUP(L73,UNITGRADES,2,FALSE))</f>
        <v>90</v>
      </c>
      <c r="N73" s="16" t="s">
        <v>25</v>
      </c>
      <c r="O73" s="15">
        <f>IF(ISBLANK(N73),0,VLOOKUP(N73,UNITGRADES,2,FALSE))</f>
        <v>90</v>
      </c>
      <c r="P73" s="16" t="s">
        <v>23</v>
      </c>
      <c r="Q73" s="15">
        <f>IF(ISBLANK(P73),0,VLOOKUP(P73,UNITGRADES,2,FALSE))</f>
        <v>70</v>
      </c>
      <c r="R73" s="16" t="s">
        <v>23</v>
      </c>
      <c r="S73" s="15">
        <f>IF(ISBLANK(R73),0,VLOOKUP(R73,UNITGRADES,2,FALSE))</f>
        <v>70</v>
      </c>
      <c r="T73" s="16" t="s">
        <v>24</v>
      </c>
      <c r="U73" s="15">
        <f>IF(ISBLANK(T73),0,VLOOKUP(T73,UNITGRADES,2,FALSE))</f>
        <v>80</v>
      </c>
      <c r="V73" s="16" t="s">
        <v>24</v>
      </c>
      <c r="W73" s="15">
        <f>IF(ISBLANK(H73),0,VLOOKUP(H73,UNITGRADES,2,FALSE))</f>
        <v>90</v>
      </c>
      <c r="X73" s="16" t="s">
        <v>23</v>
      </c>
      <c r="Y73" s="15">
        <f>IF(ISBLANK(X73),0,VLOOKUP(X73,UNITGRADES,2,FALSE))</f>
        <v>70</v>
      </c>
      <c r="Z73" s="15">
        <f t="shared" si="0"/>
        <v>730</v>
      </c>
      <c r="AA73" s="15" t="str">
        <f>VLOOKUP(Z73*2,FINALGRADES,3,TRUE)</f>
        <v>DDM</v>
      </c>
      <c r="AB73" s="16" t="s">
        <v>23</v>
      </c>
      <c r="AC73" s="15">
        <f>IF(ISBLANK(AB73),0,VLOOKUP(AB73,UNITGRADES,2,FALSE))</f>
        <v>70</v>
      </c>
      <c r="AD73" s="16" t="s">
        <v>24</v>
      </c>
      <c r="AE73" s="15">
        <f>IF(ISBLANK(AD73),0,VLOOKUP(AD73,UNITGRADES,2,FALSE))</f>
        <v>80</v>
      </c>
      <c r="AF73" s="16" t="s">
        <v>24</v>
      </c>
      <c r="AG73" s="15">
        <f>IF(ISBLANK(AF73),0,VLOOKUP(AF73,UNITGRADES,2,FALSE))</f>
        <v>80</v>
      </c>
      <c r="AH73" s="16" t="s">
        <v>24</v>
      </c>
      <c r="AI73" s="15">
        <f>IF(ISBLANK(AH73),0,VLOOKUP(AH73,UNITGRADES,2,FALSE))</f>
        <v>80</v>
      </c>
      <c r="AJ73" s="16" t="s">
        <v>25</v>
      </c>
      <c r="AK73" s="15">
        <f>IF(ISBLANK(AJ73),0,VLOOKUP(AJ73,UNITGRADES,2,FALSE))</f>
        <v>90</v>
      </c>
      <c r="AL73" s="16" t="s">
        <v>25</v>
      </c>
      <c r="AM73" s="15">
        <f>IF(ISBLANK(AL73),0,VLOOKUP(AL73,UNITGRADES,2,FALSE))</f>
        <v>90</v>
      </c>
      <c r="AN73" s="16" t="s">
        <v>23</v>
      </c>
      <c r="AO73" s="15">
        <f>IF(ISBLANK(AN73),0,VLOOKUP(AN73,UNITGRADES,2,FALSE))</f>
        <v>70</v>
      </c>
      <c r="AP73" s="16" t="s">
        <v>23</v>
      </c>
      <c r="AQ73" s="15">
        <f>IF(ISBLANK(AP73),0,VLOOKUP(AP73,UNITGRADES,2,FALSE))</f>
        <v>70</v>
      </c>
      <c r="AR73" s="16" t="s">
        <v>23</v>
      </c>
      <c r="AS73" s="11">
        <f>IF(ISBLANK(AR73),0,VLOOKUP(AR73,UNITGRADES,2,FALSE))</f>
        <v>70</v>
      </c>
      <c r="AT73" s="13">
        <f t="shared" si="1"/>
        <v>7</v>
      </c>
      <c r="AU73" s="13">
        <f t="shared" si="2"/>
        <v>6</v>
      </c>
      <c r="AV73" s="13">
        <f t="shared" si="3"/>
        <v>5</v>
      </c>
      <c r="AW73" s="17">
        <f t="shared" si="4"/>
        <v>1360</v>
      </c>
      <c r="AX73" s="18" t="str">
        <f>VLOOKUP(AW73,FINALGRADES,3,TRUE)</f>
        <v>MMP</v>
      </c>
      <c r="AY73" s="10">
        <f>VLOOKUP(AW73,FINALGRADES,4,TRUE)</f>
        <v>200</v>
      </c>
      <c r="AZ73" s="11">
        <f>VLOOKUP(G73,TARGETPOINTS,2,FALSE)</f>
        <v>240</v>
      </c>
      <c r="BA73" s="11" t="str">
        <f t="shared" si="5"/>
        <v>Under</v>
      </c>
      <c r="BB73" s="10"/>
      <c r="BC73" s="11"/>
      <c r="BD73" s="11"/>
    </row>
    <row r="74" spans="1:56" ht="11.25" customHeight="1">
      <c r="A74" s="13">
        <v>4</v>
      </c>
      <c r="B74" s="13">
        <v>6638401</v>
      </c>
      <c r="C74" s="12" t="s">
        <v>168</v>
      </c>
      <c r="D74" s="12" t="s">
        <v>169</v>
      </c>
      <c r="E74" s="13" t="s">
        <v>24</v>
      </c>
      <c r="F74" s="14">
        <v>33766</v>
      </c>
      <c r="G74" s="13" t="s">
        <v>65</v>
      </c>
      <c r="H74" s="16" t="s">
        <v>25</v>
      </c>
      <c r="I74" s="15">
        <f>IF(ISBLANK(H74),0,VLOOKUP(H74,UNITGRADES,2,FALSE))</f>
        <v>90</v>
      </c>
      <c r="J74" s="16" t="s">
        <v>23</v>
      </c>
      <c r="K74" s="15">
        <f>IF(ISBLANK(J74),0,VLOOKUP(J74,UNITGRADES,2,FALSE))</f>
        <v>70</v>
      </c>
      <c r="L74" s="16" t="s">
        <v>23</v>
      </c>
      <c r="M74" s="15">
        <f>IF(ISBLANK(L74),0,VLOOKUP(L74,UNITGRADES,2,FALSE))</f>
        <v>70</v>
      </c>
      <c r="N74" s="16" t="s">
        <v>24</v>
      </c>
      <c r="O74" s="15">
        <f>IF(ISBLANK(N74),0,VLOOKUP(N74,UNITGRADES,2,FALSE))</f>
        <v>80</v>
      </c>
      <c r="P74" s="16" t="s">
        <v>25</v>
      </c>
      <c r="Q74" s="15">
        <f>IF(ISBLANK(P74),0,VLOOKUP(P74,UNITGRADES,2,FALSE))</f>
        <v>90</v>
      </c>
      <c r="R74" s="16" t="s">
        <v>25</v>
      </c>
      <c r="S74" s="15">
        <f>IF(ISBLANK(R74),0,VLOOKUP(R74,UNITGRADES,2,FALSE))</f>
        <v>90</v>
      </c>
      <c r="T74" s="16" t="s">
        <v>24</v>
      </c>
      <c r="U74" s="15">
        <f>IF(ISBLANK(T74),0,VLOOKUP(T74,UNITGRADES,2,FALSE))</f>
        <v>80</v>
      </c>
      <c r="V74" s="16" t="s">
        <v>24</v>
      </c>
      <c r="W74" s="15">
        <f>IF(ISBLANK(H74),0,VLOOKUP(H74,UNITGRADES,2,FALSE))</f>
        <v>90</v>
      </c>
      <c r="X74" s="16" t="s">
        <v>25</v>
      </c>
      <c r="Y74" s="15">
        <f>IF(ISBLANK(X74),0,VLOOKUP(X74,UNITGRADES,2,FALSE))</f>
        <v>90</v>
      </c>
      <c r="Z74" s="15">
        <f t="shared" si="0"/>
        <v>750</v>
      </c>
      <c r="AA74" s="15" t="str">
        <f>VLOOKUP(Z74*2,FINALGRADES,3,TRUE)</f>
        <v>DDD</v>
      </c>
      <c r="AB74" s="16" t="s">
        <v>23</v>
      </c>
      <c r="AC74" s="15">
        <f>IF(ISBLANK(AB74),0,VLOOKUP(AB74,UNITGRADES,2,FALSE))</f>
        <v>70</v>
      </c>
      <c r="AD74" s="16" t="s">
        <v>23</v>
      </c>
      <c r="AE74" s="15">
        <f>IF(ISBLANK(AD74),0,VLOOKUP(AD74,UNITGRADES,2,FALSE))</f>
        <v>70</v>
      </c>
      <c r="AF74" s="16" t="s">
        <v>24</v>
      </c>
      <c r="AG74" s="15">
        <f>IF(ISBLANK(AF74),0,VLOOKUP(AF74,UNITGRADES,2,FALSE))</f>
        <v>80</v>
      </c>
      <c r="AH74" s="16" t="s">
        <v>23</v>
      </c>
      <c r="AI74" s="15">
        <f>IF(ISBLANK(AH74),0,VLOOKUP(AH74,UNITGRADES,2,FALSE))</f>
        <v>70</v>
      </c>
      <c r="AJ74" s="16" t="s">
        <v>24</v>
      </c>
      <c r="AK74" s="15">
        <f>IF(ISBLANK(AJ74),0,VLOOKUP(AJ74,UNITGRADES,2,FALSE))</f>
        <v>80</v>
      </c>
      <c r="AL74" s="16" t="s">
        <v>23</v>
      </c>
      <c r="AM74" s="15">
        <f>IF(ISBLANK(AL74),0,VLOOKUP(AL74,UNITGRADES,2,FALSE))</f>
        <v>70</v>
      </c>
      <c r="AN74" s="16" t="s">
        <v>24</v>
      </c>
      <c r="AO74" s="15">
        <f>IF(ISBLANK(AN74),0,VLOOKUP(AN74,UNITGRADES,2,FALSE))</f>
        <v>80</v>
      </c>
      <c r="AP74" s="16" t="s">
        <v>25</v>
      </c>
      <c r="AQ74" s="15">
        <f>IF(ISBLANK(AP74),0,VLOOKUP(AP74,UNITGRADES,2,FALSE))</f>
        <v>90</v>
      </c>
      <c r="AR74" s="16" t="s">
        <v>24</v>
      </c>
      <c r="AS74" s="11">
        <f>IF(ISBLANK(AR74),0,VLOOKUP(AR74,UNITGRADES,2,FALSE))</f>
        <v>80</v>
      </c>
      <c r="AT74" s="13">
        <f t="shared" si="1"/>
        <v>6</v>
      </c>
      <c r="AU74" s="13">
        <f t="shared" si="2"/>
        <v>7</v>
      </c>
      <c r="AV74" s="13">
        <f t="shared" si="3"/>
        <v>5</v>
      </c>
      <c r="AW74" s="17">
        <f t="shared" si="4"/>
        <v>1360</v>
      </c>
      <c r="AX74" s="18" t="str">
        <f>VLOOKUP(AW74,FINALGRADES,3,TRUE)</f>
        <v>MMP</v>
      </c>
      <c r="AY74" s="10">
        <f>VLOOKUP(AW74,FINALGRADES,4,TRUE)</f>
        <v>200</v>
      </c>
      <c r="AZ74" s="11">
        <f>VLOOKUP(G74,TARGETPOINTS,2,FALSE)</f>
        <v>280</v>
      </c>
      <c r="BA74" s="11" t="str">
        <f t="shared" si="5"/>
        <v>Under</v>
      </c>
      <c r="BB74" s="10"/>
      <c r="BC74" s="11"/>
      <c r="BD74" s="11"/>
    </row>
    <row r="75" spans="1:56" ht="11.25" customHeight="1">
      <c r="A75" s="13">
        <v>4</v>
      </c>
      <c r="B75" s="13">
        <v>9835981</v>
      </c>
      <c r="C75" s="12" t="s">
        <v>170</v>
      </c>
      <c r="D75" s="12" t="s">
        <v>171</v>
      </c>
      <c r="E75" s="13" t="s">
        <v>24</v>
      </c>
      <c r="F75" s="14">
        <v>33577</v>
      </c>
      <c r="G75" s="13" t="s">
        <v>50</v>
      </c>
      <c r="H75" s="16" t="s">
        <v>24</v>
      </c>
      <c r="I75" s="15">
        <f>IF(ISBLANK(H75),0,VLOOKUP(H75,UNITGRADES,2,FALSE))</f>
        <v>80</v>
      </c>
      <c r="J75" s="16" t="s">
        <v>23</v>
      </c>
      <c r="K75" s="15">
        <f>IF(ISBLANK(J75),0,VLOOKUP(J75,UNITGRADES,2,FALSE))</f>
        <v>70</v>
      </c>
      <c r="L75" s="16" t="s">
        <v>23</v>
      </c>
      <c r="M75" s="15">
        <f>IF(ISBLANK(L75),0,VLOOKUP(L75,UNITGRADES,2,FALSE))</f>
        <v>70</v>
      </c>
      <c r="N75" s="16" t="s">
        <v>24</v>
      </c>
      <c r="O75" s="15">
        <f>IF(ISBLANK(N75),0,VLOOKUP(N75,UNITGRADES,2,FALSE))</f>
        <v>80</v>
      </c>
      <c r="P75" s="16" t="s">
        <v>25</v>
      </c>
      <c r="Q75" s="15">
        <f>IF(ISBLANK(P75),0,VLOOKUP(P75,UNITGRADES,2,FALSE))</f>
        <v>90</v>
      </c>
      <c r="R75" s="16" t="s">
        <v>25</v>
      </c>
      <c r="S75" s="15">
        <f>IF(ISBLANK(R75),0,VLOOKUP(R75,UNITGRADES,2,FALSE))</f>
        <v>90</v>
      </c>
      <c r="T75" s="16" t="s">
        <v>25</v>
      </c>
      <c r="U75" s="15">
        <f>IF(ISBLANK(T75),0,VLOOKUP(T75,UNITGRADES,2,FALSE))</f>
        <v>90</v>
      </c>
      <c r="V75" s="16" t="s">
        <v>24</v>
      </c>
      <c r="W75" s="15">
        <f>IF(ISBLANK(H75),0,VLOOKUP(H75,UNITGRADES,2,FALSE))</f>
        <v>80</v>
      </c>
      <c r="X75" s="16" t="s">
        <v>24</v>
      </c>
      <c r="Y75" s="15">
        <f>IF(ISBLANK(X75),0,VLOOKUP(X75,UNITGRADES,2,FALSE))</f>
        <v>80</v>
      </c>
      <c r="Z75" s="15">
        <f t="shared" si="0"/>
        <v>730</v>
      </c>
      <c r="AA75" s="15" t="str">
        <f>VLOOKUP(Z75*2,FINALGRADES,3,TRUE)</f>
        <v>DDM</v>
      </c>
      <c r="AB75" s="16" t="s">
        <v>24</v>
      </c>
      <c r="AC75" s="15">
        <f>IF(ISBLANK(AB75),0,VLOOKUP(AB75,UNITGRADES,2,FALSE))</f>
        <v>80</v>
      </c>
      <c r="AD75" s="16" t="s">
        <v>23</v>
      </c>
      <c r="AE75" s="15">
        <f>IF(ISBLANK(AD75),0,VLOOKUP(AD75,UNITGRADES,2,FALSE))</f>
        <v>70</v>
      </c>
      <c r="AF75" s="16" t="s">
        <v>25</v>
      </c>
      <c r="AG75" s="15">
        <f>IF(ISBLANK(AF75),0,VLOOKUP(AF75,UNITGRADES,2,FALSE))</f>
        <v>90</v>
      </c>
      <c r="AH75" s="16" t="s">
        <v>23</v>
      </c>
      <c r="AI75" s="15">
        <f>IF(ISBLANK(AH75),0,VLOOKUP(AH75,UNITGRADES,2,FALSE))</f>
        <v>70</v>
      </c>
      <c r="AJ75" s="16" t="s">
        <v>25</v>
      </c>
      <c r="AK75" s="15">
        <f>IF(ISBLANK(AJ75),0,VLOOKUP(AJ75,UNITGRADES,2,FALSE))</f>
        <v>90</v>
      </c>
      <c r="AL75" s="16" t="s">
        <v>25</v>
      </c>
      <c r="AM75" s="15">
        <f>IF(ISBLANK(AL75),0,VLOOKUP(AL75,UNITGRADES,2,FALSE))</f>
        <v>90</v>
      </c>
      <c r="AN75" s="16" t="s">
        <v>23</v>
      </c>
      <c r="AO75" s="15">
        <f>IF(ISBLANK(AN75),0,VLOOKUP(AN75,UNITGRADES,2,FALSE))</f>
        <v>70</v>
      </c>
      <c r="AP75" s="16" t="s">
        <v>23</v>
      </c>
      <c r="AQ75" s="15">
        <f>IF(ISBLANK(AP75),0,VLOOKUP(AP75,UNITGRADES,2,FALSE))</f>
        <v>70</v>
      </c>
      <c r="AR75" s="16" t="s">
        <v>23</v>
      </c>
      <c r="AS75" s="11">
        <f>IF(ISBLANK(AR75),0,VLOOKUP(AR75,UNITGRADES,2,FALSE))</f>
        <v>70</v>
      </c>
      <c r="AT75" s="13">
        <f t="shared" si="1"/>
        <v>7</v>
      </c>
      <c r="AU75" s="13">
        <f t="shared" si="2"/>
        <v>5</v>
      </c>
      <c r="AV75" s="13">
        <f t="shared" si="3"/>
        <v>6</v>
      </c>
      <c r="AW75" s="17">
        <f t="shared" si="4"/>
        <v>1360</v>
      </c>
      <c r="AX75" s="18" t="str">
        <f>VLOOKUP(AW75,FINALGRADES,3,TRUE)</f>
        <v>MMP</v>
      </c>
      <c r="AY75" s="10">
        <f>VLOOKUP(AW75,FINALGRADES,4,TRUE)</f>
        <v>200</v>
      </c>
      <c r="AZ75" s="11">
        <f>VLOOKUP(G75,TARGETPOINTS,2,FALSE)</f>
        <v>200</v>
      </c>
      <c r="BA75" s="11" t="str">
        <f t="shared" si="5"/>
        <v>Same</v>
      </c>
      <c r="BB75" s="10"/>
      <c r="BC75" s="11"/>
      <c r="BD75" s="11"/>
    </row>
    <row r="76" spans="1:56" ht="11.25" customHeight="1">
      <c r="A76" s="13">
        <v>1</v>
      </c>
      <c r="B76" s="13">
        <v>8328296</v>
      </c>
      <c r="C76" s="12" t="s">
        <v>172</v>
      </c>
      <c r="D76" s="12" t="s">
        <v>173</v>
      </c>
      <c r="E76" s="13" t="s">
        <v>24</v>
      </c>
      <c r="F76" s="14">
        <v>33318</v>
      </c>
      <c r="G76" s="13" t="s">
        <v>37</v>
      </c>
      <c r="H76" s="16" t="s">
        <v>23</v>
      </c>
      <c r="I76" s="15">
        <f>IF(ISBLANK(H76),0,VLOOKUP(H76,UNITGRADES,2,FALSE))</f>
        <v>70</v>
      </c>
      <c r="J76" s="16" t="s">
        <v>25</v>
      </c>
      <c r="K76" s="15">
        <f>IF(ISBLANK(J76),0,VLOOKUP(J76,UNITGRADES,2,FALSE))</f>
        <v>90</v>
      </c>
      <c r="L76" s="16" t="s">
        <v>24</v>
      </c>
      <c r="M76" s="15">
        <f>IF(ISBLANK(L76),0,VLOOKUP(L76,UNITGRADES,2,FALSE))</f>
        <v>80</v>
      </c>
      <c r="N76" s="16" t="s">
        <v>23</v>
      </c>
      <c r="O76" s="15">
        <f>IF(ISBLANK(N76),0,VLOOKUP(N76,UNITGRADES,2,FALSE))</f>
        <v>70</v>
      </c>
      <c r="P76" s="16" t="s">
        <v>25</v>
      </c>
      <c r="Q76" s="15">
        <f>IF(ISBLANK(P76),0,VLOOKUP(P76,UNITGRADES,2,FALSE))</f>
        <v>90</v>
      </c>
      <c r="R76" s="16" t="s">
        <v>25</v>
      </c>
      <c r="S76" s="15">
        <f>IF(ISBLANK(R76),0,VLOOKUP(R76,UNITGRADES,2,FALSE))</f>
        <v>90</v>
      </c>
      <c r="T76" s="16" t="s">
        <v>25</v>
      </c>
      <c r="U76" s="15">
        <f>IF(ISBLANK(T76),0,VLOOKUP(T76,UNITGRADES,2,FALSE))</f>
        <v>90</v>
      </c>
      <c r="V76" s="16" t="s">
        <v>25</v>
      </c>
      <c r="W76" s="15">
        <f>IF(ISBLANK(H76),0,VLOOKUP(H76,UNITGRADES,2,FALSE))</f>
        <v>70</v>
      </c>
      <c r="X76" s="16" t="s">
        <v>24</v>
      </c>
      <c r="Y76" s="15">
        <f>IF(ISBLANK(X76),0,VLOOKUP(X76,UNITGRADES,2,FALSE))</f>
        <v>80</v>
      </c>
      <c r="Z76" s="15">
        <f t="shared" si="0"/>
        <v>730</v>
      </c>
      <c r="AA76" s="15" t="str">
        <f>VLOOKUP(Z76*2,FINALGRADES,3,TRUE)</f>
        <v>DDM</v>
      </c>
      <c r="AB76" s="16" t="s">
        <v>23</v>
      </c>
      <c r="AC76" s="15">
        <f>IF(ISBLANK(AB76),0,VLOOKUP(AB76,UNITGRADES,2,FALSE))</f>
        <v>70</v>
      </c>
      <c r="AD76" s="16" t="s">
        <v>23</v>
      </c>
      <c r="AE76" s="15">
        <f>IF(ISBLANK(AD76),0,VLOOKUP(AD76,UNITGRADES,2,FALSE))</f>
        <v>70</v>
      </c>
      <c r="AF76" s="16" t="s">
        <v>24</v>
      </c>
      <c r="AG76" s="15">
        <f>IF(ISBLANK(AF76),0,VLOOKUP(AF76,UNITGRADES,2,FALSE))</f>
        <v>80</v>
      </c>
      <c r="AH76" s="16" t="s">
        <v>24</v>
      </c>
      <c r="AI76" s="15">
        <f>IF(ISBLANK(AH76),0,VLOOKUP(AH76,UNITGRADES,2,FALSE))</f>
        <v>80</v>
      </c>
      <c r="AJ76" s="16" t="s">
        <v>25</v>
      </c>
      <c r="AK76" s="15">
        <f>IF(ISBLANK(AJ76),0,VLOOKUP(AJ76,UNITGRADES,2,FALSE))</f>
        <v>90</v>
      </c>
      <c r="AL76" s="16" t="s">
        <v>23</v>
      </c>
      <c r="AM76" s="15">
        <f>IF(ISBLANK(AL76),0,VLOOKUP(AL76,UNITGRADES,2,FALSE))</f>
        <v>70</v>
      </c>
      <c r="AN76" s="16" t="s">
        <v>25</v>
      </c>
      <c r="AO76" s="15">
        <f>IF(ISBLANK(AN76),0,VLOOKUP(AN76,UNITGRADES,2,FALSE))</f>
        <v>90</v>
      </c>
      <c r="AP76" s="16" t="s">
        <v>25</v>
      </c>
      <c r="AQ76" s="15">
        <f>IF(ISBLANK(AP76),0,VLOOKUP(AP76,UNITGRADES,2,FALSE))</f>
        <v>90</v>
      </c>
      <c r="AR76" s="16" t="s">
        <v>23</v>
      </c>
      <c r="AS76" s="11">
        <f>IF(ISBLANK(AR76),0,VLOOKUP(AR76,UNITGRADES,2,FALSE))</f>
        <v>70</v>
      </c>
      <c r="AT76" s="13">
        <f t="shared" si="1"/>
        <v>6</v>
      </c>
      <c r="AU76" s="13">
        <f t="shared" si="2"/>
        <v>4</v>
      </c>
      <c r="AV76" s="13">
        <f t="shared" si="3"/>
        <v>8</v>
      </c>
      <c r="AW76" s="17">
        <f t="shared" si="4"/>
        <v>1370</v>
      </c>
      <c r="AX76" s="18" t="str">
        <f>VLOOKUP(AW76,FINALGRADES,3,TRUE)</f>
        <v>MMP</v>
      </c>
      <c r="AY76" s="10">
        <f>VLOOKUP(AW76,FINALGRADES,4,TRUE)</f>
        <v>200</v>
      </c>
      <c r="AZ76" s="11">
        <f>VLOOKUP(G76,TARGETPOINTS,2,FALSE)</f>
        <v>120</v>
      </c>
      <c r="BA76" s="11" t="str">
        <f t="shared" si="5"/>
        <v>Over</v>
      </c>
      <c r="BB76" s="10"/>
      <c r="BC76" s="11"/>
      <c r="BD76" s="11"/>
    </row>
    <row r="77" spans="1:56" ht="11.25" customHeight="1">
      <c r="A77" s="13">
        <v>1</v>
      </c>
      <c r="B77" s="13">
        <v>9601005</v>
      </c>
      <c r="C77" s="12" t="s">
        <v>174</v>
      </c>
      <c r="D77" s="12" t="s">
        <v>175</v>
      </c>
      <c r="E77" s="13" t="s">
        <v>24</v>
      </c>
      <c r="F77" s="14">
        <v>33107</v>
      </c>
      <c r="G77" s="13" t="s">
        <v>29</v>
      </c>
      <c r="H77" s="16" t="s">
        <v>25</v>
      </c>
      <c r="I77" s="15">
        <f>IF(ISBLANK(H77),0,VLOOKUP(H77,UNITGRADES,2,FALSE))</f>
        <v>90</v>
      </c>
      <c r="J77" s="16" t="s">
        <v>25</v>
      </c>
      <c r="K77" s="15">
        <f>IF(ISBLANK(J77),0,VLOOKUP(J77,UNITGRADES,2,FALSE))</f>
        <v>90</v>
      </c>
      <c r="L77" s="16" t="s">
        <v>23</v>
      </c>
      <c r="M77" s="15">
        <f>IF(ISBLANK(L77),0,VLOOKUP(L77,UNITGRADES,2,FALSE))</f>
        <v>70</v>
      </c>
      <c r="N77" s="16" t="s">
        <v>24</v>
      </c>
      <c r="O77" s="15">
        <f>IF(ISBLANK(N77),0,VLOOKUP(N77,UNITGRADES,2,FALSE))</f>
        <v>80</v>
      </c>
      <c r="P77" s="16" t="s">
        <v>24</v>
      </c>
      <c r="Q77" s="15">
        <f>IF(ISBLANK(P77),0,VLOOKUP(P77,UNITGRADES,2,FALSE))</f>
        <v>80</v>
      </c>
      <c r="R77" s="16" t="s">
        <v>24</v>
      </c>
      <c r="S77" s="15">
        <f>IF(ISBLANK(R77),0,VLOOKUP(R77,UNITGRADES,2,FALSE))</f>
        <v>80</v>
      </c>
      <c r="T77" s="16" t="s">
        <v>23</v>
      </c>
      <c r="U77" s="15">
        <f>IF(ISBLANK(T77),0,VLOOKUP(T77,UNITGRADES,2,FALSE))</f>
        <v>70</v>
      </c>
      <c r="V77" s="16" t="s">
        <v>25</v>
      </c>
      <c r="W77" s="15">
        <f>IF(ISBLANK(H77),0,VLOOKUP(H77,UNITGRADES,2,FALSE))</f>
        <v>90</v>
      </c>
      <c r="X77" s="16" t="s">
        <v>24</v>
      </c>
      <c r="Y77" s="15">
        <f>IF(ISBLANK(X77),0,VLOOKUP(X77,UNITGRADES,2,FALSE))</f>
        <v>80</v>
      </c>
      <c r="Z77" s="15">
        <f t="shared" si="0"/>
        <v>730</v>
      </c>
      <c r="AA77" s="15" t="str">
        <f>VLOOKUP(Z77*2,FINALGRADES,3,TRUE)</f>
        <v>DDM</v>
      </c>
      <c r="AB77" s="16" t="s">
        <v>23</v>
      </c>
      <c r="AC77" s="15">
        <f>IF(ISBLANK(AB77),0,VLOOKUP(AB77,UNITGRADES,2,FALSE))</f>
        <v>70</v>
      </c>
      <c r="AD77" s="16" t="s">
        <v>25</v>
      </c>
      <c r="AE77" s="15">
        <f>IF(ISBLANK(AD77),0,VLOOKUP(AD77,UNITGRADES,2,FALSE))</f>
        <v>90</v>
      </c>
      <c r="AF77" s="16" t="s">
        <v>25</v>
      </c>
      <c r="AG77" s="15">
        <f>IF(ISBLANK(AF77),0,VLOOKUP(AF77,UNITGRADES,2,FALSE))</f>
        <v>90</v>
      </c>
      <c r="AH77" s="16" t="s">
        <v>24</v>
      </c>
      <c r="AI77" s="15">
        <f>IF(ISBLANK(AH77),0,VLOOKUP(AH77,UNITGRADES,2,FALSE))</f>
        <v>80</v>
      </c>
      <c r="AJ77" s="16" t="s">
        <v>23</v>
      </c>
      <c r="AK77" s="15">
        <f>IF(ISBLANK(AJ77),0,VLOOKUP(AJ77,UNITGRADES,2,FALSE))</f>
        <v>70</v>
      </c>
      <c r="AL77" s="16" t="s">
        <v>25</v>
      </c>
      <c r="AM77" s="15">
        <f>IF(ISBLANK(AL77),0,VLOOKUP(AL77,UNITGRADES,2,FALSE))</f>
        <v>90</v>
      </c>
      <c r="AN77" s="16" t="s">
        <v>23</v>
      </c>
      <c r="AO77" s="15">
        <f>IF(ISBLANK(AN77),0,VLOOKUP(AN77,UNITGRADES,2,FALSE))</f>
        <v>70</v>
      </c>
      <c r="AP77" s="16" t="s">
        <v>24</v>
      </c>
      <c r="AQ77" s="15">
        <f>IF(ISBLANK(AP77),0,VLOOKUP(AP77,UNITGRADES,2,FALSE))</f>
        <v>80</v>
      </c>
      <c r="AR77" s="16" t="s">
        <v>25</v>
      </c>
      <c r="AS77" s="11">
        <f>IF(ISBLANK(AR77),0,VLOOKUP(AR77,UNITGRADES,2,FALSE))</f>
        <v>90</v>
      </c>
      <c r="AT77" s="13">
        <f t="shared" si="1"/>
        <v>5</v>
      </c>
      <c r="AU77" s="13">
        <f t="shared" si="2"/>
        <v>6</v>
      </c>
      <c r="AV77" s="13">
        <f t="shared" si="3"/>
        <v>7</v>
      </c>
      <c r="AW77" s="17">
        <f t="shared" si="4"/>
        <v>1370</v>
      </c>
      <c r="AX77" s="18" t="str">
        <f>VLOOKUP(AW77,FINALGRADES,3,TRUE)</f>
        <v>MMP</v>
      </c>
      <c r="AY77" s="10">
        <f>VLOOKUP(AW77,FINALGRADES,4,TRUE)</f>
        <v>200</v>
      </c>
      <c r="AZ77" s="11">
        <f>VLOOKUP(G77,TARGETPOINTS,2,FALSE)</f>
        <v>360</v>
      </c>
      <c r="BA77" s="11" t="str">
        <f t="shared" si="5"/>
        <v>Under</v>
      </c>
      <c r="BB77" s="10"/>
      <c r="BC77" s="11"/>
      <c r="BD77" s="11"/>
    </row>
    <row r="78" spans="1:56" ht="11.25" customHeight="1">
      <c r="A78" s="13">
        <v>2</v>
      </c>
      <c r="B78" s="13">
        <v>8371359</v>
      </c>
      <c r="C78" s="12" t="s">
        <v>176</v>
      </c>
      <c r="D78" s="12" t="s">
        <v>177</v>
      </c>
      <c r="E78" s="13" t="s">
        <v>24</v>
      </c>
      <c r="F78" s="14">
        <v>33879</v>
      </c>
      <c r="G78" s="13" t="s">
        <v>50</v>
      </c>
      <c r="H78" s="16" t="s">
        <v>25</v>
      </c>
      <c r="I78" s="15">
        <f>IF(ISBLANK(H78),0,VLOOKUP(H78,UNITGRADES,2,FALSE))</f>
        <v>90</v>
      </c>
      <c r="J78" s="16" t="s">
        <v>24</v>
      </c>
      <c r="K78" s="15">
        <f>IF(ISBLANK(J78),0,VLOOKUP(J78,UNITGRADES,2,FALSE))</f>
        <v>80</v>
      </c>
      <c r="L78" s="16" t="s">
        <v>25</v>
      </c>
      <c r="M78" s="15">
        <f>IF(ISBLANK(L78),0,VLOOKUP(L78,UNITGRADES,2,FALSE))</f>
        <v>90</v>
      </c>
      <c r="N78" s="16" t="s">
        <v>25</v>
      </c>
      <c r="O78" s="15">
        <f>IF(ISBLANK(N78),0,VLOOKUP(N78,UNITGRADES,2,FALSE))</f>
        <v>90</v>
      </c>
      <c r="P78" s="16" t="s">
        <v>23</v>
      </c>
      <c r="Q78" s="15">
        <f>IF(ISBLANK(P78),0,VLOOKUP(P78,UNITGRADES,2,FALSE))</f>
        <v>70</v>
      </c>
      <c r="R78" s="16" t="s">
        <v>25</v>
      </c>
      <c r="S78" s="15">
        <f>IF(ISBLANK(R78),0,VLOOKUP(R78,UNITGRADES,2,FALSE))</f>
        <v>90</v>
      </c>
      <c r="T78" s="16" t="s">
        <v>23</v>
      </c>
      <c r="U78" s="15">
        <f>IF(ISBLANK(T78),0,VLOOKUP(T78,UNITGRADES,2,FALSE))</f>
        <v>70</v>
      </c>
      <c r="V78" s="16" t="s">
        <v>24</v>
      </c>
      <c r="W78" s="15">
        <f>IF(ISBLANK(H78),0,VLOOKUP(H78,UNITGRADES,2,FALSE))</f>
        <v>90</v>
      </c>
      <c r="X78" s="16" t="s">
        <v>24</v>
      </c>
      <c r="Y78" s="15">
        <f>IF(ISBLANK(X78),0,VLOOKUP(X78,UNITGRADES,2,FALSE))</f>
        <v>80</v>
      </c>
      <c r="Z78" s="15">
        <f t="shared" si="0"/>
        <v>750</v>
      </c>
      <c r="AA78" s="15" t="str">
        <f>VLOOKUP(Z78*2,FINALGRADES,3,TRUE)</f>
        <v>DDD</v>
      </c>
      <c r="AB78" s="16" t="s">
        <v>24</v>
      </c>
      <c r="AC78" s="15">
        <f>IF(ISBLANK(AB78),0,VLOOKUP(AB78,UNITGRADES,2,FALSE))</f>
        <v>80</v>
      </c>
      <c r="AD78" s="16" t="s">
        <v>23</v>
      </c>
      <c r="AE78" s="15">
        <f>IF(ISBLANK(AD78),0,VLOOKUP(AD78,UNITGRADES,2,FALSE))</f>
        <v>70</v>
      </c>
      <c r="AF78" s="16" t="s">
        <v>23</v>
      </c>
      <c r="AG78" s="15">
        <f>IF(ISBLANK(AF78),0,VLOOKUP(AF78,UNITGRADES,2,FALSE))</f>
        <v>70</v>
      </c>
      <c r="AH78" s="16" t="s">
        <v>24</v>
      </c>
      <c r="AI78" s="15">
        <f>IF(ISBLANK(AH78),0,VLOOKUP(AH78,UNITGRADES,2,FALSE))</f>
        <v>80</v>
      </c>
      <c r="AJ78" s="16" t="s">
        <v>25</v>
      </c>
      <c r="AK78" s="15">
        <f>IF(ISBLANK(AJ78),0,VLOOKUP(AJ78,UNITGRADES,2,FALSE))</f>
        <v>90</v>
      </c>
      <c r="AL78" s="16" t="s">
        <v>24</v>
      </c>
      <c r="AM78" s="15">
        <f>IF(ISBLANK(AL78),0,VLOOKUP(AL78,UNITGRADES,2,FALSE))</f>
        <v>80</v>
      </c>
      <c r="AN78" s="16" t="s">
        <v>24</v>
      </c>
      <c r="AO78" s="15">
        <f>IF(ISBLANK(AN78),0,VLOOKUP(AN78,UNITGRADES,2,FALSE))</f>
        <v>80</v>
      </c>
      <c r="AP78" s="16" t="s">
        <v>23</v>
      </c>
      <c r="AQ78" s="15">
        <f>IF(ISBLANK(AP78),0,VLOOKUP(AP78,UNITGRADES,2,FALSE))</f>
        <v>70</v>
      </c>
      <c r="AR78" s="16" t="s">
        <v>23</v>
      </c>
      <c r="AS78" s="11">
        <f>IF(ISBLANK(AR78),0,VLOOKUP(AR78,UNITGRADES,2,FALSE))</f>
        <v>70</v>
      </c>
      <c r="AT78" s="13">
        <f t="shared" si="1"/>
        <v>6</v>
      </c>
      <c r="AU78" s="13">
        <f t="shared" si="2"/>
        <v>7</v>
      </c>
      <c r="AV78" s="13">
        <f t="shared" si="3"/>
        <v>5</v>
      </c>
      <c r="AW78" s="17">
        <f t="shared" si="4"/>
        <v>1370</v>
      </c>
      <c r="AX78" s="18" t="str">
        <f>VLOOKUP(AW78,FINALGRADES,3,TRUE)</f>
        <v>MMP</v>
      </c>
      <c r="AY78" s="10">
        <f>VLOOKUP(AW78,FINALGRADES,4,TRUE)</f>
        <v>200</v>
      </c>
      <c r="AZ78" s="11">
        <f>VLOOKUP(G78,TARGETPOINTS,2,FALSE)</f>
        <v>200</v>
      </c>
      <c r="BA78" s="11" t="str">
        <f t="shared" si="5"/>
        <v>Same</v>
      </c>
      <c r="BB78" s="10"/>
      <c r="BC78" s="11"/>
      <c r="BD78" s="11"/>
    </row>
    <row r="79" spans="1:56" ht="11.25" customHeight="1">
      <c r="A79" s="13">
        <v>2</v>
      </c>
      <c r="B79" s="13">
        <v>9468100</v>
      </c>
      <c r="C79" s="12" t="s">
        <v>178</v>
      </c>
      <c r="D79" s="12" t="s">
        <v>179</v>
      </c>
      <c r="E79" s="13" t="s">
        <v>24</v>
      </c>
      <c r="F79" s="14">
        <v>32905</v>
      </c>
      <c r="G79" s="13" t="s">
        <v>22</v>
      </c>
      <c r="H79" s="16" t="s">
        <v>23</v>
      </c>
      <c r="I79" s="15">
        <f>IF(ISBLANK(H79),0,VLOOKUP(H79,UNITGRADES,2,FALSE))</f>
        <v>70</v>
      </c>
      <c r="J79" s="16" t="s">
        <v>24</v>
      </c>
      <c r="K79" s="15">
        <f>IF(ISBLANK(J79),0,VLOOKUP(J79,UNITGRADES,2,FALSE))</f>
        <v>80</v>
      </c>
      <c r="L79" s="16" t="s">
        <v>25</v>
      </c>
      <c r="M79" s="15">
        <f>IF(ISBLANK(L79),0,VLOOKUP(L79,UNITGRADES,2,FALSE))</f>
        <v>90</v>
      </c>
      <c r="N79" s="16" t="s">
        <v>24</v>
      </c>
      <c r="O79" s="15">
        <f>IF(ISBLANK(N79),0,VLOOKUP(N79,UNITGRADES,2,FALSE))</f>
        <v>80</v>
      </c>
      <c r="P79" s="16" t="s">
        <v>25</v>
      </c>
      <c r="Q79" s="15">
        <f>IF(ISBLANK(P79),0,VLOOKUP(P79,UNITGRADES,2,FALSE))</f>
        <v>90</v>
      </c>
      <c r="R79" s="16" t="s">
        <v>24</v>
      </c>
      <c r="S79" s="15">
        <f>IF(ISBLANK(R79),0,VLOOKUP(R79,UNITGRADES,2,FALSE))</f>
        <v>80</v>
      </c>
      <c r="T79" s="16" t="s">
        <v>23</v>
      </c>
      <c r="U79" s="15">
        <f>IF(ISBLANK(T79),0,VLOOKUP(T79,UNITGRADES,2,FALSE))</f>
        <v>70</v>
      </c>
      <c r="V79" s="16" t="s">
        <v>23</v>
      </c>
      <c r="W79" s="15">
        <f>IF(ISBLANK(H79),0,VLOOKUP(H79,UNITGRADES,2,FALSE))</f>
        <v>70</v>
      </c>
      <c r="X79" s="16" t="s">
        <v>24</v>
      </c>
      <c r="Y79" s="15">
        <f>IF(ISBLANK(X79),0,VLOOKUP(X79,UNITGRADES,2,FALSE))</f>
        <v>80</v>
      </c>
      <c r="Z79" s="15">
        <f t="shared" si="0"/>
        <v>710</v>
      </c>
      <c r="AA79" s="15" t="str">
        <f>VLOOKUP(Z79*2,FINALGRADES,3,TRUE)</f>
        <v>DMM</v>
      </c>
      <c r="AB79" s="16" t="s">
        <v>25</v>
      </c>
      <c r="AC79" s="15">
        <f>IF(ISBLANK(AB79),0,VLOOKUP(AB79,UNITGRADES,2,FALSE))</f>
        <v>90</v>
      </c>
      <c r="AD79" s="16" t="s">
        <v>24</v>
      </c>
      <c r="AE79" s="15">
        <f>IF(ISBLANK(AD79),0,VLOOKUP(AD79,UNITGRADES,2,FALSE))</f>
        <v>80</v>
      </c>
      <c r="AF79" s="16" t="s">
        <v>25</v>
      </c>
      <c r="AG79" s="15">
        <f>IF(ISBLANK(AF79),0,VLOOKUP(AF79,UNITGRADES,2,FALSE))</f>
        <v>90</v>
      </c>
      <c r="AH79" s="16" t="s">
        <v>24</v>
      </c>
      <c r="AI79" s="15">
        <f>IF(ISBLANK(AH79),0,VLOOKUP(AH79,UNITGRADES,2,FALSE))</f>
        <v>80</v>
      </c>
      <c r="AJ79" s="16" t="s">
        <v>25</v>
      </c>
      <c r="AK79" s="15">
        <f>IF(ISBLANK(AJ79),0,VLOOKUP(AJ79,UNITGRADES,2,FALSE))</f>
        <v>90</v>
      </c>
      <c r="AL79" s="16" t="s">
        <v>24</v>
      </c>
      <c r="AM79" s="15">
        <f>IF(ISBLANK(AL79),0,VLOOKUP(AL79,UNITGRADES,2,FALSE))</f>
        <v>80</v>
      </c>
      <c r="AN79" s="16" t="s">
        <v>23</v>
      </c>
      <c r="AO79" s="15">
        <f>IF(ISBLANK(AN79),0,VLOOKUP(AN79,UNITGRADES,2,FALSE))</f>
        <v>70</v>
      </c>
      <c r="AP79" s="16" t="s">
        <v>24</v>
      </c>
      <c r="AQ79" s="15">
        <f>IF(ISBLANK(AP79),0,VLOOKUP(AP79,UNITGRADES,2,FALSE))</f>
        <v>80</v>
      </c>
      <c r="AR79" s="16" t="s">
        <v>25</v>
      </c>
      <c r="AS79" s="11">
        <f>IF(ISBLANK(AR79),0,VLOOKUP(AR79,UNITGRADES,2,FALSE))</f>
        <v>90</v>
      </c>
      <c r="AT79" s="13">
        <f t="shared" si="1"/>
        <v>4</v>
      </c>
      <c r="AU79" s="13">
        <f t="shared" si="2"/>
        <v>8</v>
      </c>
      <c r="AV79" s="13">
        <f t="shared" si="3"/>
        <v>6</v>
      </c>
      <c r="AW79" s="17">
        <f t="shared" si="4"/>
        <v>1370</v>
      </c>
      <c r="AX79" s="18" t="str">
        <f>VLOOKUP(AW79,FINALGRADES,3,TRUE)</f>
        <v>MMP</v>
      </c>
      <c r="AY79" s="10">
        <f>VLOOKUP(AW79,FINALGRADES,4,TRUE)</f>
        <v>200</v>
      </c>
      <c r="AZ79" s="11">
        <f>VLOOKUP(G79,TARGETPOINTS,2,FALSE)</f>
        <v>160</v>
      </c>
      <c r="BA79" s="11" t="str">
        <f t="shared" si="5"/>
        <v>Over</v>
      </c>
      <c r="BB79" s="10"/>
      <c r="BC79" s="11"/>
      <c r="BD79" s="11"/>
    </row>
    <row r="80" spans="1:56" ht="11.25" customHeight="1">
      <c r="A80" s="13">
        <v>2</v>
      </c>
      <c r="B80" s="13">
        <v>5533724</v>
      </c>
      <c r="C80" s="12" t="s">
        <v>180</v>
      </c>
      <c r="D80" s="12" t="s">
        <v>181</v>
      </c>
      <c r="E80" s="13" t="s">
        <v>24</v>
      </c>
      <c r="F80" s="14">
        <v>33951</v>
      </c>
      <c r="G80" s="13" t="s">
        <v>29</v>
      </c>
      <c r="H80" s="16" t="s">
        <v>24</v>
      </c>
      <c r="I80" s="15">
        <f>IF(ISBLANK(H80),0,VLOOKUP(H80,UNITGRADES,2,FALSE))</f>
        <v>80</v>
      </c>
      <c r="J80" s="16" t="s">
        <v>25</v>
      </c>
      <c r="K80" s="15">
        <f>IF(ISBLANK(J80),0,VLOOKUP(J80,UNITGRADES,2,FALSE))</f>
        <v>90</v>
      </c>
      <c r="L80" s="16" t="s">
        <v>24</v>
      </c>
      <c r="M80" s="15">
        <f>IF(ISBLANK(L80),0,VLOOKUP(L80,UNITGRADES,2,FALSE))</f>
        <v>80</v>
      </c>
      <c r="N80" s="16" t="s">
        <v>25</v>
      </c>
      <c r="O80" s="15">
        <f>IF(ISBLANK(N80),0,VLOOKUP(N80,UNITGRADES,2,FALSE))</f>
        <v>90</v>
      </c>
      <c r="P80" s="16" t="s">
        <v>24</v>
      </c>
      <c r="Q80" s="15">
        <f>IF(ISBLANK(P80),0,VLOOKUP(P80,UNITGRADES,2,FALSE))</f>
        <v>80</v>
      </c>
      <c r="R80" s="16" t="s">
        <v>25</v>
      </c>
      <c r="S80" s="15">
        <f>IF(ISBLANK(R80),0,VLOOKUP(R80,UNITGRADES,2,FALSE))</f>
        <v>90</v>
      </c>
      <c r="T80" s="16" t="s">
        <v>23</v>
      </c>
      <c r="U80" s="15">
        <f>IF(ISBLANK(T80),0,VLOOKUP(T80,UNITGRADES,2,FALSE))</f>
        <v>70</v>
      </c>
      <c r="V80" s="16" t="s">
        <v>25</v>
      </c>
      <c r="W80" s="15">
        <f>IF(ISBLANK(H80),0,VLOOKUP(H80,UNITGRADES,2,FALSE))</f>
        <v>80</v>
      </c>
      <c r="X80" s="16" t="s">
        <v>25</v>
      </c>
      <c r="Y80" s="15">
        <f>IF(ISBLANK(X80),0,VLOOKUP(X80,UNITGRADES,2,FALSE))</f>
        <v>90</v>
      </c>
      <c r="Z80" s="15">
        <f t="shared" si="0"/>
        <v>750</v>
      </c>
      <c r="AA80" s="15" t="str">
        <f>VLOOKUP(Z80*2,FINALGRADES,3,TRUE)</f>
        <v>DDD</v>
      </c>
      <c r="AB80" s="16" t="s">
        <v>25</v>
      </c>
      <c r="AC80" s="15">
        <f>IF(ISBLANK(AB80),0,VLOOKUP(AB80,UNITGRADES,2,FALSE))</f>
        <v>90</v>
      </c>
      <c r="AD80" s="16" t="s">
        <v>23</v>
      </c>
      <c r="AE80" s="15">
        <f>IF(ISBLANK(AD80),0,VLOOKUP(AD80,UNITGRADES,2,FALSE))</f>
        <v>70</v>
      </c>
      <c r="AF80" s="16" t="s">
        <v>23</v>
      </c>
      <c r="AG80" s="15">
        <f>IF(ISBLANK(AF80),0,VLOOKUP(AF80,UNITGRADES,2,FALSE))</f>
        <v>70</v>
      </c>
      <c r="AH80" s="16" t="s">
        <v>23</v>
      </c>
      <c r="AI80" s="15">
        <f>IF(ISBLANK(AH80),0,VLOOKUP(AH80,UNITGRADES,2,FALSE))</f>
        <v>70</v>
      </c>
      <c r="AJ80" s="16" t="s">
        <v>24</v>
      </c>
      <c r="AK80" s="15">
        <f>IF(ISBLANK(AJ80),0,VLOOKUP(AJ80,UNITGRADES,2,FALSE))</f>
        <v>80</v>
      </c>
      <c r="AL80" s="16" t="s">
        <v>23</v>
      </c>
      <c r="AM80" s="15">
        <f>IF(ISBLANK(AL80),0,VLOOKUP(AL80,UNITGRADES,2,FALSE))</f>
        <v>70</v>
      </c>
      <c r="AN80" s="16" t="s">
        <v>24</v>
      </c>
      <c r="AO80" s="15">
        <f>IF(ISBLANK(AN80),0,VLOOKUP(AN80,UNITGRADES,2,FALSE))</f>
        <v>80</v>
      </c>
      <c r="AP80" s="16" t="s">
        <v>25</v>
      </c>
      <c r="AQ80" s="15">
        <f>IF(ISBLANK(AP80),0,VLOOKUP(AP80,UNITGRADES,2,FALSE))</f>
        <v>90</v>
      </c>
      <c r="AR80" s="16" t="s">
        <v>23</v>
      </c>
      <c r="AS80" s="11">
        <f>IF(ISBLANK(AR80),0,VLOOKUP(AR80,UNITGRADES,2,FALSE))</f>
        <v>70</v>
      </c>
      <c r="AT80" s="13">
        <f t="shared" si="1"/>
        <v>6</v>
      </c>
      <c r="AU80" s="13">
        <f t="shared" si="2"/>
        <v>5</v>
      </c>
      <c r="AV80" s="13">
        <f t="shared" si="3"/>
        <v>7</v>
      </c>
      <c r="AW80" s="17">
        <f t="shared" si="4"/>
        <v>1370</v>
      </c>
      <c r="AX80" s="18" t="str">
        <f>VLOOKUP(AW80,FINALGRADES,3,TRUE)</f>
        <v>MMP</v>
      </c>
      <c r="AY80" s="10">
        <f>VLOOKUP(AW80,FINALGRADES,4,TRUE)</f>
        <v>200</v>
      </c>
      <c r="AZ80" s="11">
        <f>VLOOKUP(G80,TARGETPOINTS,2,FALSE)</f>
        <v>360</v>
      </c>
      <c r="BA80" s="11" t="str">
        <f t="shared" si="5"/>
        <v>Under</v>
      </c>
      <c r="BB80" s="10"/>
      <c r="BC80" s="11"/>
      <c r="BD80" s="11"/>
    </row>
    <row r="81" spans="1:56" ht="11.25" customHeight="1">
      <c r="A81" s="13">
        <v>2</v>
      </c>
      <c r="B81" s="13">
        <v>7466567</v>
      </c>
      <c r="C81" s="12" t="s">
        <v>92</v>
      </c>
      <c r="D81" s="12" t="s">
        <v>182</v>
      </c>
      <c r="E81" s="13" t="s">
        <v>24</v>
      </c>
      <c r="F81" s="14">
        <v>33998</v>
      </c>
      <c r="G81" s="13" t="s">
        <v>65</v>
      </c>
      <c r="H81" s="16" t="s">
        <v>25</v>
      </c>
      <c r="I81" s="15">
        <f>IF(ISBLANK(H81),0,VLOOKUP(H81,UNITGRADES,2,FALSE))</f>
        <v>90</v>
      </c>
      <c r="J81" s="16" t="s">
        <v>23</v>
      </c>
      <c r="K81" s="15">
        <f>IF(ISBLANK(J81),0,VLOOKUP(J81,UNITGRADES,2,FALSE))</f>
        <v>70</v>
      </c>
      <c r="L81" s="16" t="s">
        <v>24</v>
      </c>
      <c r="M81" s="15">
        <f>IF(ISBLANK(L81),0,VLOOKUP(L81,UNITGRADES,2,FALSE))</f>
        <v>80</v>
      </c>
      <c r="N81" s="16" t="s">
        <v>23</v>
      </c>
      <c r="O81" s="15">
        <f>IF(ISBLANK(N81),0,VLOOKUP(N81,UNITGRADES,2,FALSE))</f>
        <v>70</v>
      </c>
      <c r="P81" s="16" t="s">
        <v>25</v>
      </c>
      <c r="Q81" s="15">
        <f>IF(ISBLANK(P81),0,VLOOKUP(P81,UNITGRADES,2,FALSE))</f>
        <v>90</v>
      </c>
      <c r="R81" s="16" t="s">
        <v>23</v>
      </c>
      <c r="S81" s="15">
        <f>IF(ISBLANK(R81),0,VLOOKUP(R81,UNITGRADES,2,FALSE))</f>
        <v>70</v>
      </c>
      <c r="T81" s="16" t="s">
        <v>23</v>
      </c>
      <c r="U81" s="15">
        <f>IF(ISBLANK(T81),0,VLOOKUP(T81,UNITGRADES,2,FALSE))</f>
        <v>70</v>
      </c>
      <c r="V81" s="16" t="s">
        <v>23</v>
      </c>
      <c r="W81" s="15">
        <f>IF(ISBLANK(H81),0,VLOOKUP(H81,UNITGRADES,2,FALSE))</f>
        <v>90</v>
      </c>
      <c r="X81" s="16" t="s">
        <v>25</v>
      </c>
      <c r="Y81" s="15">
        <f>IF(ISBLANK(X81),0,VLOOKUP(X81,UNITGRADES,2,FALSE))</f>
        <v>90</v>
      </c>
      <c r="Z81" s="15">
        <f t="shared" si="0"/>
        <v>720</v>
      </c>
      <c r="AA81" s="15" t="str">
        <f>VLOOKUP(Z81*2,FINALGRADES,3,TRUE)</f>
        <v>DMM</v>
      </c>
      <c r="AB81" s="16" t="s">
        <v>25</v>
      </c>
      <c r="AC81" s="15">
        <f>IF(ISBLANK(AB81),0,VLOOKUP(AB81,UNITGRADES,2,FALSE))</f>
        <v>90</v>
      </c>
      <c r="AD81" s="16" t="s">
        <v>24</v>
      </c>
      <c r="AE81" s="15">
        <f>IF(ISBLANK(AD81),0,VLOOKUP(AD81,UNITGRADES,2,FALSE))</f>
        <v>80</v>
      </c>
      <c r="AF81" s="16" t="s">
        <v>24</v>
      </c>
      <c r="AG81" s="15">
        <f>IF(ISBLANK(AF81),0,VLOOKUP(AF81,UNITGRADES,2,FALSE))</f>
        <v>80</v>
      </c>
      <c r="AH81" s="16" t="s">
        <v>25</v>
      </c>
      <c r="AI81" s="15">
        <f>IF(ISBLANK(AH81),0,VLOOKUP(AH81,UNITGRADES,2,FALSE))</f>
        <v>90</v>
      </c>
      <c r="AJ81" s="16" t="s">
        <v>24</v>
      </c>
      <c r="AK81" s="15">
        <f>IF(ISBLANK(AJ81),0,VLOOKUP(AJ81,UNITGRADES,2,FALSE))</f>
        <v>80</v>
      </c>
      <c r="AL81" s="16" t="s">
        <v>24</v>
      </c>
      <c r="AM81" s="15">
        <f>IF(ISBLANK(AL81),0,VLOOKUP(AL81,UNITGRADES,2,FALSE))</f>
        <v>80</v>
      </c>
      <c r="AN81" s="16" t="s">
        <v>24</v>
      </c>
      <c r="AO81" s="15">
        <f>IF(ISBLANK(AN81),0,VLOOKUP(AN81,UNITGRADES,2,FALSE))</f>
        <v>80</v>
      </c>
      <c r="AP81" s="16" t="s">
        <v>23</v>
      </c>
      <c r="AQ81" s="15">
        <f>IF(ISBLANK(AP81),0,VLOOKUP(AP81,UNITGRADES,2,FALSE))</f>
        <v>70</v>
      </c>
      <c r="AR81" s="16" t="s">
        <v>24</v>
      </c>
      <c r="AS81" s="11">
        <f>IF(ISBLANK(AR81),0,VLOOKUP(AR81,UNITGRADES,2,FALSE))</f>
        <v>80</v>
      </c>
      <c r="AT81" s="13">
        <f t="shared" si="1"/>
        <v>6</v>
      </c>
      <c r="AU81" s="13">
        <f t="shared" si="2"/>
        <v>7</v>
      </c>
      <c r="AV81" s="13">
        <f t="shared" si="3"/>
        <v>5</v>
      </c>
      <c r="AW81" s="17">
        <f t="shared" si="4"/>
        <v>1370</v>
      </c>
      <c r="AX81" s="18" t="str">
        <f>VLOOKUP(AW81,FINALGRADES,3,TRUE)</f>
        <v>MMP</v>
      </c>
      <c r="AY81" s="10">
        <f>VLOOKUP(AW81,FINALGRADES,4,TRUE)</f>
        <v>200</v>
      </c>
      <c r="AZ81" s="11">
        <f>VLOOKUP(G81,TARGETPOINTS,2,FALSE)</f>
        <v>280</v>
      </c>
      <c r="BA81" s="11" t="str">
        <f t="shared" si="5"/>
        <v>Under</v>
      </c>
      <c r="BB81" s="10"/>
      <c r="BC81" s="11"/>
      <c r="BD81" s="11"/>
    </row>
    <row r="82" spans="1:56" ht="11.25" customHeight="1">
      <c r="A82" s="13">
        <v>2</v>
      </c>
      <c r="B82" s="13">
        <v>9547128</v>
      </c>
      <c r="C82" s="12" t="s">
        <v>183</v>
      </c>
      <c r="D82" s="12" t="s">
        <v>184</v>
      </c>
      <c r="E82" s="13" t="s">
        <v>24</v>
      </c>
      <c r="F82" s="14">
        <v>33544</v>
      </c>
      <c r="G82" s="13" t="s">
        <v>50</v>
      </c>
      <c r="H82" s="16" t="s">
        <v>24</v>
      </c>
      <c r="I82" s="15">
        <f>IF(ISBLANK(H82),0,VLOOKUP(H82,UNITGRADES,2,FALSE))</f>
        <v>80</v>
      </c>
      <c r="J82" s="16" t="s">
        <v>23</v>
      </c>
      <c r="K82" s="15">
        <f>IF(ISBLANK(J82),0,VLOOKUP(J82,UNITGRADES,2,FALSE))</f>
        <v>70</v>
      </c>
      <c r="L82" s="16" t="s">
        <v>24</v>
      </c>
      <c r="M82" s="15">
        <f>IF(ISBLANK(L82),0,VLOOKUP(L82,UNITGRADES,2,FALSE))</f>
        <v>80</v>
      </c>
      <c r="N82" s="16" t="s">
        <v>25</v>
      </c>
      <c r="O82" s="15">
        <f>IF(ISBLANK(N82),0,VLOOKUP(N82,UNITGRADES,2,FALSE))</f>
        <v>90</v>
      </c>
      <c r="P82" s="16" t="s">
        <v>25</v>
      </c>
      <c r="Q82" s="15">
        <f>IF(ISBLANK(P82),0,VLOOKUP(P82,UNITGRADES,2,FALSE))</f>
        <v>90</v>
      </c>
      <c r="R82" s="16" t="s">
        <v>24</v>
      </c>
      <c r="S82" s="15">
        <f>IF(ISBLANK(R82),0,VLOOKUP(R82,UNITGRADES,2,FALSE))</f>
        <v>80</v>
      </c>
      <c r="T82" s="16" t="s">
        <v>24</v>
      </c>
      <c r="U82" s="15">
        <f>IF(ISBLANK(T82),0,VLOOKUP(T82,UNITGRADES,2,FALSE))</f>
        <v>80</v>
      </c>
      <c r="V82" s="16" t="s">
        <v>24</v>
      </c>
      <c r="W82" s="15">
        <f>IF(ISBLANK(H82),0,VLOOKUP(H82,UNITGRADES,2,FALSE))</f>
        <v>80</v>
      </c>
      <c r="X82" s="16" t="s">
        <v>25</v>
      </c>
      <c r="Y82" s="15">
        <f>IF(ISBLANK(X82),0,VLOOKUP(X82,UNITGRADES,2,FALSE))</f>
        <v>90</v>
      </c>
      <c r="Z82" s="15">
        <f t="shared" si="0"/>
        <v>740</v>
      </c>
      <c r="AA82" s="15" t="str">
        <f>VLOOKUP(Z82*2,FINALGRADES,3,TRUE)</f>
        <v>DDM</v>
      </c>
      <c r="AB82" s="16" t="s">
        <v>23</v>
      </c>
      <c r="AC82" s="15">
        <f>IF(ISBLANK(AB82),0,VLOOKUP(AB82,UNITGRADES,2,FALSE))</f>
        <v>70</v>
      </c>
      <c r="AD82" s="16" t="s">
        <v>25</v>
      </c>
      <c r="AE82" s="15">
        <f>IF(ISBLANK(AD82),0,VLOOKUP(AD82,UNITGRADES,2,FALSE))</f>
        <v>90</v>
      </c>
      <c r="AF82" s="16" t="s">
        <v>24</v>
      </c>
      <c r="AG82" s="15">
        <f>IF(ISBLANK(AF82),0,VLOOKUP(AF82,UNITGRADES,2,FALSE))</f>
        <v>80</v>
      </c>
      <c r="AH82" s="16" t="s">
        <v>24</v>
      </c>
      <c r="AI82" s="15">
        <f>IF(ISBLANK(AH82),0,VLOOKUP(AH82,UNITGRADES,2,FALSE))</f>
        <v>80</v>
      </c>
      <c r="AJ82" s="16" t="s">
        <v>23</v>
      </c>
      <c r="AK82" s="15">
        <f>IF(ISBLANK(AJ82),0,VLOOKUP(AJ82,UNITGRADES,2,FALSE))</f>
        <v>70</v>
      </c>
      <c r="AL82" s="16" t="s">
        <v>24</v>
      </c>
      <c r="AM82" s="15">
        <f>IF(ISBLANK(AL82),0,VLOOKUP(AL82,UNITGRADES,2,FALSE))</f>
        <v>80</v>
      </c>
      <c r="AN82" s="16" t="s">
        <v>24</v>
      </c>
      <c r="AO82" s="15">
        <f>IF(ISBLANK(AN82),0,VLOOKUP(AN82,UNITGRADES,2,FALSE))</f>
        <v>80</v>
      </c>
      <c r="AP82" s="16" t="s">
        <v>24</v>
      </c>
      <c r="AQ82" s="15">
        <f>IF(ISBLANK(AP82),0,VLOOKUP(AP82,UNITGRADES,2,FALSE))</f>
        <v>80</v>
      </c>
      <c r="AR82" s="16" t="s">
        <v>24</v>
      </c>
      <c r="AS82" s="11">
        <f>IF(ISBLANK(AR82),0,VLOOKUP(AR82,UNITGRADES,2,FALSE))</f>
        <v>80</v>
      </c>
      <c r="AT82" s="13">
        <f t="shared" si="1"/>
        <v>3</v>
      </c>
      <c r="AU82" s="13">
        <f t="shared" si="2"/>
        <v>11</v>
      </c>
      <c r="AV82" s="13">
        <f t="shared" si="3"/>
        <v>4</v>
      </c>
      <c r="AW82" s="17">
        <f t="shared" si="4"/>
        <v>1370</v>
      </c>
      <c r="AX82" s="18" t="str">
        <f>VLOOKUP(AW82,FINALGRADES,3,TRUE)</f>
        <v>MMP</v>
      </c>
      <c r="AY82" s="10">
        <f>VLOOKUP(AW82,FINALGRADES,4,TRUE)</f>
        <v>200</v>
      </c>
      <c r="AZ82" s="11">
        <f>VLOOKUP(G82,TARGETPOINTS,2,FALSE)</f>
        <v>200</v>
      </c>
      <c r="BA82" s="11" t="str">
        <f t="shared" si="5"/>
        <v>Same</v>
      </c>
      <c r="BB82" s="10"/>
      <c r="BC82" s="11"/>
      <c r="BD82" s="11"/>
    </row>
    <row r="83" spans="1:56" ht="11.25" customHeight="1">
      <c r="A83" s="13">
        <v>3</v>
      </c>
      <c r="B83" s="13">
        <v>5885604</v>
      </c>
      <c r="C83" s="12" t="s">
        <v>185</v>
      </c>
      <c r="D83" s="12" t="s">
        <v>186</v>
      </c>
      <c r="E83" s="13" t="s">
        <v>24</v>
      </c>
      <c r="F83" s="14">
        <v>33844</v>
      </c>
      <c r="G83" s="13" t="s">
        <v>29</v>
      </c>
      <c r="H83" s="16" t="s">
        <v>24</v>
      </c>
      <c r="I83" s="15">
        <f>IF(ISBLANK(H83),0,VLOOKUP(H83,UNITGRADES,2,FALSE))</f>
        <v>80</v>
      </c>
      <c r="J83" s="16" t="s">
        <v>25</v>
      </c>
      <c r="K83" s="15">
        <f>IF(ISBLANK(J83),0,VLOOKUP(J83,UNITGRADES,2,FALSE))</f>
        <v>90</v>
      </c>
      <c r="L83" s="16" t="s">
        <v>25</v>
      </c>
      <c r="M83" s="15">
        <f>IF(ISBLANK(L83),0,VLOOKUP(L83,UNITGRADES,2,FALSE))</f>
        <v>90</v>
      </c>
      <c r="N83" s="16" t="s">
        <v>25</v>
      </c>
      <c r="O83" s="15">
        <f>IF(ISBLANK(N83),0,VLOOKUP(N83,UNITGRADES,2,FALSE))</f>
        <v>90</v>
      </c>
      <c r="P83" s="16" t="s">
        <v>25</v>
      </c>
      <c r="Q83" s="15">
        <f>IF(ISBLANK(P83),0,VLOOKUP(P83,UNITGRADES,2,FALSE))</f>
        <v>90</v>
      </c>
      <c r="R83" s="16" t="s">
        <v>23</v>
      </c>
      <c r="S83" s="15">
        <f>IF(ISBLANK(R83),0,VLOOKUP(R83,UNITGRADES,2,FALSE))</f>
        <v>70</v>
      </c>
      <c r="T83" s="16" t="s">
        <v>23</v>
      </c>
      <c r="U83" s="15">
        <f>IF(ISBLANK(T83),0,VLOOKUP(T83,UNITGRADES,2,FALSE))</f>
        <v>70</v>
      </c>
      <c r="V83" s="16" t="s">
        <v>24</v>
      </c>
      <c r="W83" s="15">
        <f>IF(ISBLANK(H83),0,VLOOKUP(H83,UNITGRADES,2,FALSE))</f>
        <v>80</v>
      </c>
      <c r="X83" s="16" t="s">
        <v>24</v>
      </c>
      <c r="Y83" s="15">
        <f>IF(ISBLANK(X83),0,VLOOKUP(X83,UNITGRADES,2,FALSE))</f>
        <v>80</v>
      </c>
      <c r="Z83" s="15">
        <f t="shared" si="0"/>
        <v>740</v>
      </c>
      <c r="AA83" s="15" t="str">
        <f>VLOOKUP(Z83*2,FINALGRADES,3,TRUE)</f>
        <v>DDM</v>
      </c>
      <c r="AB83" s="16" t="s">
        <v>23</v>
      </c>
      <c r="AC83" s="15">
        <f>IF(ISBLANK(AB83),0,VLOOKUP(AB83,UNITGRADES,2,FALSE))</f>
        <v>70</v>
      </c>
      <c r="AD83" s="16" t="s">
        <v>23</v>
      </c>
      <c r="AE83" s="15">
        <f>IF(ISBLANK(AD83),0,VLOOKUP(AD83,UNITGRADES,2,FALSE))</f>
        <v>70</v>
      </c>
      <c r="AF83" s="16" t="s">
        <v>23</v>
      </c>
      <c r="AG83" s="15">
        <f>IF(ISBLANK(AF83),0,VLOOKUP(AF83,UNITGRADES,2,FALSE))</f>
        <v>70</v>
      </c>
      <c r="AH83" s="16" t="s">
        <v>25</v>
      </c>
      <c r="AI83" s="15">
        <f>IF(ISBLANK(AH83),0,VLOOKUP(AH83,UNITGRADES,2,FALSE))</f>
        <v>90</v>
      </c>
      <c r="AJ83" s="16" t="s">
        <v>25</v>
      </c>
      <c r="AK83" s="15">
        <f>IF(ISBLANK(AJ83),0,VLOOKUP(AJ83,UNITGRADES,2,FALSE))</f>
        <v>90</v>
      </c>
      <c r="AL83" s="16" t="s">
        <v>23</v>
      </c>
      <c r="AM83" s="15">
        <f>IF(ISBLANK(AL83),0,VLOOKUP(AL83,UNITGRADES,2,FALSE))</f>
        <v>70</v>
      </c>
      <c r="AN83" s="16" t="s">
        <v>25</v>
      </c>
      <c r="AO83" s="15">
        <f>IF(ISBLANK(AN83),0,VLOOKUP(AN83,UNITGRADES,2,FALSE))</f>
        <v>90</v>
      </c>
      <c r="AP83" s="16" t="s">
        <v>24</v>
      </c>
      <c r="AQ83" s="15">
        <f>IF(ISBLANK(AP83),0,VLOOKUP(AP83,UNITGRADES,2,FALSE))</f>
        <v>80</v>
      </c>
      <c r="AR83" s="16" t="s">
        <v>24</v>
      </c>
      <c r="AS83" s="11">
        <f>IF(ISBLANK(AR83),0,VLOOKUP(AR83,UNITGRADES,2,FALSE))</f>
        <v>80</v>
      </c>
      <c r="AT83" s="13">
        <f t="shared" si="1"/>
        <v>6</v>
      </c>
      <c r="AU83" s="13">
        <f t="shared" si="2"/>
        <v>5</v>
      </c>
      <c r="AV83" s="13">
        <f t="shared" si="3"/>
        <v>7</v>
      </c>
      <c r="AW83" s="17">
        <f t="shared" si="4"/>
        <v>1370</v>
      </c>
      <c r="AX83" s="18" t="str">
        <f>VLOOKUP(AW83,FINALGRADES,3,TRUE)</f>
        <v>MMP</v>
      </c>
      <c r="AY83" s="10">
        <f>VLOOKUP(AW83,FINALGRADES,4,TRUE)</f>
        <v>200</v>
      </c>
      <c r="AZ83" s="11">
        <f>VLOOKUP(G83,TARGETPOINTS,2,FALSE)</f>
        <v>360</v>
      </c>
      <c r="BA83" s="11" t="str">
        <f t="shared" si="5"/>
        <v>Under</v>
      </c>
      <c r="BB83" s="10"/>
      <c r="BC83" s="11"/>
      <c r="BD83" s="11"/>
    </row>
    <row r="84" spans="1:56" ht="11.25" customHeight="1">
      <c r="A84" s="13">
        <v>3</v>
      </c>
      <c r="B84" s="13">
        <v>7725656</v>
      </c>
      <c r="C84" s="12" t="s">
        <v>187</v>
      </c>
      <c r="D84" s="12" t="s">
        <v>188</v>
      </c>
      <c r="E84" s="13" t="s">
        <v>24</v>
      </c>
      <c r="F84" s="14">
        <v>33869</v>
      </c>
      <c r="G84" s="13" t="s">
        <v>70</v>
      </c>
      <c r="H84" s="16" t="s">
        <v>24</v>
      </c>
      <c r="I84" s="15">
        <f>IF(ISBLANK(H84),0,VLOOKUP(H84,UNITGRADES,2,FALSE))</f>
        <v>80</v>
      </c>
      <c r="J84" s="16" t="s">
        <v>23</v>
      </c>
      <c r="K84" s="15">
        <f>IF(ISBLANK(J84),0,VLOOKUP(J84,UNITGRADES,2,FALSE))</f>
        <v>70</v>
      </c>
      <c r="L84" s="16" t="s">
        <v>25</v>
      </c>
      <c r="M84" s="15">
        <f>IF(ISBLANK(L84),0,VLOOKUP(L84,UNITGRADES,2,FALSE))</f>
        <v>90</v>
      </c>
      <c r="N84" s="16" t="s">
        <v>23</v>
      </c>
      <c r="O84" s="15">
        <f>IF(ISBLANK(N84),0,VLOOKUP(N84,UNITGRADES,2,FALSE))</f>
        <v>70</v>
      </c>
      <c r="P84" s="16" t="s">
        <v>25</v>
      </c>
      <c r="Q84" s="15">
        <f>IF(ISBLANK(P84),0,VLOOKUP(P84,UNITGRADES,2,FALSE))</f>
        <v>90</v>
      </c>
      <c r="R84" s="16" t="s">
        <v>25</v>
      </c>
      <c r="S84" s="15">
        <f>IF(ISBLANK(R84),0,VLOOKUP(R84,UNITGRADES,2,FALSE))</f>
        <v>90</v>
      </c>
      <c r="T84" s="16" t="s">
        <v>24</v>
      </c>
      <c r="U84" s="15">
        <f>IF(ISBLANK(T84),0,VLOOKUP(T84,UNITGRADES,2,FALSE))</f>
        <v>80</v>
      </c>
      <c r="V84" s="16" t="s">
        <v>23</v>
      </c>
      <c r="W84" s="15">
        <f>IF(ISBLANK(H84),0,VLOOKUP(H84,UNITGRADES,2,FALSE))</f>
        <v>80</v>
      </c>
      <c r="X84" s="16" t="s">
        <v>24</v>
      </c>
      <c r="Y84" s="15">
        <f>IF(ISBLANK(X84),0,VLOOKUP(X84,UNITGRADES,2,FALSE))</f>
        <v>80</v>
      </c>
      <c r="Z84" s="15">
        <f t="shared" si="0"/>
        <v>730</v>
      </c>
      <c r="AA84" s="15" t="str">
        <f>VLOOKUP(Z84*2,FINALGRADES,3,TRUE)</f>
        <v>DDM</v>
      </c>
      <c r="AB84" s="16" t="s">
        <v>24</v>
      </c>
      <c r="AC84" s="15">
        <f>IF(ISBLANK(AB84),0,VLOOKUP(AB84,UNITGRADES,2,FALSE))</f>
        <v>80</v>
      </c>
      <c r="AD84" s="16" t="s">
        <v>24</v>
      </c>
      <c r="AE84" s="15">
        <f>IF(ISBLANK(AD84),0,VLOOKUP(AD84,UNITGRADES,2,FALSE))</f>
        <v>80</v>
      </c>
      <c r="AF84" s="16" t="s">
        <v>23</v>
      </c>
      <c r="AG84" s="15">
        <f>IF(ISBLANK(AF84),0,VLOOKUP(AF84,UNITGRADES,2,FALSE))</f>
        <v>70</v>
      </c>
      <c r="AH84" s="16" t="s">
        <v>25</v>
      </c>
      <c r="AI84" s="15">
        <f>IF(ISBLANK(AH84),0,VLOOKUP(AH84,UNITGRADES,2,FALSE))</f>
        <v>90</v>
      </c>
      <c r="AJ84" s="16" t="s">
        <v>24</v>
      </c>
      <c r="AK84" s="15">
        <f>IF(ISBLANK(AJ84),0,VLOOKUP(AJ84,UNITGRADES,2,FALSE))</f>
        <v>80</v>
      </c>
      <c r="AL84" s="16" t="s">
        <v>24</v>
      </c>
      <c r="AM84" s="15">
        <f>IF(ISBLANK(AL84),0,VLOOKUP(AL84,UNITGRADES,2,FALSE))</f>
        <v>80</v>
      </c>
      <c r="AN84" s="16" t="s">
        <v>24</v>
      </c>
      <c r="AO84" s="15">
        <f>IF(ISBLANK(AN84),0,VLOOKUP(AN84,UNITGRADES,2,FALSE))</f>
        <v>80</v>
      </c>
      <c r="AP84" s="16" t="s">
        <v>24</v>
      </c>
      <c r="AQ84" s="15">
        <f>IF(ISBLANK(AP84),0,VLOOKUP(AP84,UNITGRADES,2,FALSE))</f>
        <v>80</v>
      </c>
      <c r="AR84" s="16" t="s">
        <v>24</v>
      </c>
      <c r="AS84" s="11">
        <f>IF(ISBLANK(AR84),0,VLOOKUP(AR84,UNITGRADES,2,FALSE))</f>
        <v>80</v>
      </c>
      <c r="AT84" s="13">
        <f t="shared" si="1"/>
        <v>4</v>
      </c>
      <c r="AU84" s="13">
        <f t="shared" si="2"/>
        <v>10</v>
      </c>
      <c r="AV84" s="13">
        <f t="shared" si="3"/>
        <v>4</v>
      </c>
      <c r="AW84" s="17">
        <f t="shared" si="4"/>
        <v>1370</v>
      </c>
      <c r="AX84" s="18" t="str">
        <f>VLOOKUP(AW84,FINALGRADES,3,TRUE)</f>
        <v>MMP</v>
      </c>
      <c r="AY84" s="10">
        <f>VLOOKUP(AW84,FINALGRADES,4,TRUE)</f>
        <v>200</v>
      </c>
      <c r="AZ84" s="11">
        <f>VLOOKUP(G84,TARGETPOINTS,2,FALSE)</f>
        <v>320</v>
      </c>
      <c r="BA84" s="11" t="str">
        <f t="shared" si="5"/>
        <v>Under</v>
      </c>
      <c r="BB84" s="10"/>
      <c r="BC84" s="11"/>
      <c r="BD84" s="11"/>
    </row>
    <row r="85" spans="1:56" ht="11.25" customHeight="1">
      <c r="A85" s="13">
        <v>3</v>
      </c>
      <c r="B85" s="13">
        <v>8133333</v>
      </c>
      <c r="C85" s="12" t="s">
        <v>189</v>
      </c>
      <c r="D85" s="12" t="s">
        <v>190</v>
      </c>
      <c r="E85" s="13" t="s">
        <v>24</v>
      </c>
      <c r="F85" s="14">
        <v>33292</v>
      </c>
      <c r="G85" s="13" t="s">
        <v>37</v>
      </c>
      <c r="H85" s="16" t="s">
        <v>25</v>
      </c>
      <c r="I85" s="15">
        <f>IF(ISBLANK(H85),0,VLOOKUP(H85,UNITGRADES,2,FALSE))</f>
        <v>90</v>
      </c>
      <c r="J85" s="16" t="s">
        <v>25</v>
      </c>
      <c r="K85" s="15">
        <f>IF(ISBLANK(J85),0,VLOOKUP(J85,UNITGRADES,2,FALSE))</f>
        <v>90</v>
      </c>
      <c r="L85" s="16" t="s">
        <v>23</v>
      </c>
      <c r="M85" s="15">
        <f>IF(ISBLANK(L85),0,VLOOKUP(L85,UNITGRADES,2,FALSE))</f>
        <v>70</v>
      </c>
      <c r="N85" s="16" t="s">
        <v>24</v>
      </c>
      <c r="O85" s="15">
        <f>IF(ISBLANK(N85),0,VLOOKUP(N85,UNITGRADES,2,FALSE))</f>
        <v>80</v>
      </c>
      <c r="P85" s="16" t="s">
        <v>24</v>
      </c>
      <c r="Q85" s="15">
        <f>IF(ISBLANK(P85),0,VLOOKUP(P85,UNITGRADES,2,FALSE))</f>
        <v>80</v>
      </c>
      <c r="R85" s="16" t="s">
        <v>25</v>
      </c>
      <c r="S85" s="15">
        <f>IF(ISBLANK(R85),0,VLOOKUP(R85,UNITGRADES,2,FALSE))</f>
        <v>90</v>
      </c>
      <c r="T85" s="16" t="s">
        <v>23</v>
      </c>
      <c r="U85" s="15">
        <f>IF(ISBLANK(T85),0,VLOOKUP(T85,UNITGRADES,2,FALSE))</f>
        <v>70</v>
      </c>
      <c r="V85" s="16" t="s">
        <v>24</v>
      </c>
      <c r="W85" s="15">
        <f>IF(ISBLANK(H85),0,VLOOKUP(H85,UNITGRADES,2,FALSE))</f>
        <v>90</v>
      </c>
      <c r="X85" s="16" t="s">
        <v>24</v>
      </c>
      <c r="Y85" s="15">
        <f>IF(ISBLANK(X85),0,VLOOKUP(X85,UNITGRADES,2,FALSE))</f>
        <v>80</v>
      </c>
      <c r="Z85" s="15">
        <f t="shared" si="0"/>
        <v>740</v>
      </c>
      <c r="AA85" s="15" t="str">
        <f>VLOOKUP(Z85*2,FINALGRADES,3,TRUE)</f>
        <v>DDM</v>
      </c>
      <c r="AB85" s="16" t="s">
        <v>25</v>
      </c>
      <c r="AC85" s="15">
        <f>IF(ISBLANK(AB85),0,VLOOKUP(AB85,UNITGRADES,2,FALSE))</f>
        <v>90</v>
      </c>
      <c r="AD85" s="16" t="s">
        <v>23</v>
      </c>
      <c r="AE85" s="15">
        <f>IF(ISBLANK(AD85),0,VLOOKUP(AD85,UNITGRADES,2,FALSE))</f>
        <v>70</v>
      </c>
      <c r="AF85" s="16" t="s">
        <v>24</v>
      </c>
      <c r="AG85" s="15">
        <f>IF(ISBLANK(AF85),0,VLOOKUP(AF85,UNITGRADES,2,FALSE))</f>
        <v>80</v>
      </c>
      <c r="AH85" s="16" t="s">
        <v>23</v>
      </c>
      <c r="AI85" s="15">
        <f>IF(ISBLANK(AH85),0,VLOOKUP(AH85,UNITGRADES,2,FALSE))</f>
        <v>70</v>
      </c>
      <c r="AJ85" s="16" t="s">
        <v>24</v>
      </c>
      <c r="AK85" s="15">
        <f>IF(ISBLANK(AJ85),0,VLOOKUP(AJ85,UNITGRADES,2,FALSE))</f>
        <v>80</v>
      </c>
      <c r="AL85" s="16" t="s">
        <v>23</v>
      </c>
      <c r="AM85" s="15">
        <f>IF(ISBLANK(AL85),0,VLOOKUP(AL85,UNITGRADES,2,FALSE))</f>
        <v>70</v>
      </c>
      <c r="AN85" s="16" t="s">
        <v>25</v>
      </c>
      <c r="AO85" s="15">
        <f>IF(ISBLANK(AN85),0,VLOOKUP(AN85,UNITGRADES,2,FALSE))</f>
        <v>90</v>
      </c>
      <c r="AP85" s="16" t="s">
        <v>24</v>
      </c>
      <c r="AQ85" s="15">
        <f>IF(ISBLANK(AP85),0,VLOOKUP(AP85,UNITGRADES,2,FALSE))</f>
        <v>80</v>
      </c>
      <c r="AR85" s="16" t="s">
        <v>23</v>
      </c>
      <c r="AS85" s="11">
        <f>IF(ISBLANK(AR85),0,VLOOKUP(AR85,UNITGRADES,2,FALSE))</f>
        <v>70</v>
      </c>
      <c r="AT85" s="13">
        <f t="shared" si="1"/>
        <v>6</v>
      </c>
      <c r="AU85" s="13">
        <f t="shared" si="2"/>
        <v>7</v>
      </c>
      <c r="AV85" s="13">
        <f t="shared" si="3"/>
        <v>5</v>
      </c>
      <c r="AW85" s="17">
        <f t="shared" si="4"/>
        <v>1370</v>
      </c>
      <c r="AX85" s="18" t="str">
        <f>VLOOKUP(AW85,FINALGRADES,3,TRUE)</f>
        <v>MMP</v>
      </c>
      <c r="AY85" s="10">
        <f>VLOOKUP(AW85,FINALGRADES,4,TRUE)</f>
        <v>200</v>
      </c>
      <c r="AZ85" s="11">
        <f>VLOOKUP(G85,TARGETPOINTS,2,FALSE)</f>
        <v>120</v>
      </c>
      <c r="BA85" s="11" t="str">
        <f t="shared" si="5"/>
        <v>Over</v>
      </c>
      <c r="BB85" s="10"/>
      <c r="BC85" s="11"/>
      <c r="BD85" s="11"/>
    </row>
    <row r="86" spans="1:56" ht="11.25" customHeight="1">
      <c r="A86" s="13">
        <v>3</v>
      </c>
      <c r="B86" s="13">
        <v>5059336</v>
      </c>
      <c r="C86" s="12" t="s">
        <v>191</v>
      </c>
      <c r="D86" s="12" t="s">
        <v>192</v>
      </c>
      <c r="E86" s="13" t="s">
        <v>24</v>
      </c>
      <c r="F86" s="14">
        <v>33885</v>
      </c>
      <c r="G86" s="13" t="s">
        <v>65</v>
      </c>
      <c r="H86" s="16" t="s">
        <v>25</v>
      </c>
      <c r="I86" s="15">
        <f>IF(ISBLANK(H86),0,VLOOKUP(H86,UNITGRADES,2,FALSE))</f>
        <v>90</v>
      </c>
      <c r="J86" s="16" t="s">
        <v>25</v>
      </c>
      <c r="K86" s="15">
        <f>IF(ISBLANK(J86),0,VLOOKUP(J86,UNITGRADES,2,FALSE))</f>
        <v>90</v>
      </c>
      <c r="L86" s="16" t="s">
        <v>23</v>
      </c>
      <c r="M86" s="15">
        <f>IF(ISBLANK(L86),0,VLOOKUP(L86,UNITGRADES,2,FALSE))</f>
        <v>70</v>
      </c>
      <c r="N86" s="16" t="s">
        <v>23</v>
      </c>
      <c r="O86" s="15">
        <f>IF(ISBLANK(N86),0,VLOOKUP(N86,UNITGRADES,2,FALSE))</f>
        <v>70</v>
      </c>
      <c r="P86" s="16" t="s">
        <v>24</v>
      </c>
      <c r="Q86" s="15">
        <f>IF(ISBLANK(P86),0,VLOOKUP(P86,UNITGRADES,2,FALSE))</f>
        <v>80</v>
      </c>
      <c r="R86" s="16" t="s">
        <v>23</v>
      </c>
      <c r="S86" s="15">
        <f>IF(ISBLANK(R86),0,VLOOKUP(R86,UNITGRADES,2,FALSE))</f>
        <v>70</v>
      </c>
      <c r="T86" s="16" t="s">
        <v>25</v>
      </c>
      <c r="U86" s="15">
        <f>IF(ISBLANK(T86),0,VLOOKUP(T86,UNITGRADES,2,FALSE))</f>
        <v>90</v>
      </c>
      <c r="V86" s="16" t="s">
        <v>24</v>
      </c>
      <c r="W86" s="15">
        <f>IF(ISBLANK(H86),0,VLOOKUP(H86,UNITGRADES,2,FALSE))</f>
        <v>90</v>
      </c>
      <c r="X86" s="16" t="s">
        <v>24</v>
      </c>
      <c r="Y86" s="15">
        <f>IF(ISBLANK(X86),0,VLOOKUP(X86,UNITGRADES,2,FALSE))</f>
        <v>80</v>
      </c>
      <c r="Z86" s="15">
        <f t="shared" si="0"/>
        <v>730</v>
      </c>
      <c r="AA86" s="15" t="str">
        <f>VLOOKUP(Z86*2,FINALGRADES,3,TRUE)</f>
        <v>DDM</v>
      </c>
      <c r="AB86" s="16" t="s">
        <v>25</v>
      </c>
      <c r="AC86" s="15">
        <f>IF(ISBLANK(AB86),0,VLOOKUP(AB86,UNITGRADES,2,FALSE))</f>
        <v>90</v>
      </c>
      <c r="AD86" s="16" t="s">
        <v>24</v>
      </c>
      <c r="AE86" s="15">
        <f>IF(ISBLANK(AD86),0,VLOOKUP(AD86,UNITGRADES,2,FALSE))</f>
        <v>80</v>
      </c>
      <c r="AF86" s="16" t="s">
        <v>25</v>
      </c>
      <c r="AG86" s="15">
        <f>IF(ISBLANK(AF86),0,VLOOKUP(AF86,UNITGRADES,2,FALSE))</f>
        <v>90</v>
      </c>
      <c r="AH86" s="16" t="s">
        <v>23</v>
      </c>
      <c r="AI86" s="15">
        <f>IF(ISBLANK(AH86),0,VLOOKUP(AH86,UNITGRADES,2,FALSE))</f>
        <v>70</v>
      </c>
      <c r="AJ86" s="16" t="s">
        <v>24</v>
      </c>
      <c r="AK86" s="15">
        <f>IF(ISBLANK(AJ86),0,VLOOKUP(AJ86,UNITGRADES,2,FALSE))</f>
        <v>80</v>
      </c>
      <c r="AL86" s="16" t="s">
        <v>25</v>
      </c>
      <c r="AM86" s="15">
        <f>IF(ISBLANK(AL86),0,VLOOKUP(AL86,UNITGRADES,2,FALSE))</f>
        <v>90</v>
      </c>
      <c r="AN86" s="16" t="s">
        <v>23</v>
      </c>
      <c r="AO86" s="15">
        <f>IF(ISBLANK(AN86),0,VLOOKUP(AN86,UNITGRADES,2,FALSE))</f>
        <v>70</v>
      </c>
      <c r="AP86" s="16" t="s">
        <v>23</v>
      </c>
      <c r="AQ86" s="15">
        <f>IF(ISBLANK(AP86),0,VLOOKUP(AP86,UNITGRADES,2,FALSE))</f>
        <v>70</v>
      </c>
      <c r="AR86" s="16" t="s">
        <v>24</v>
      </c>
      <c r="AS86" s="11">
        <f>IF(ISBLANK(AR86),0,VLOOKUP(AR86,UNITGRADES,2,FALSE))</f>
        <v>80</v>
      </c>
      <c r="AT86" s="13">
        <f t="shared" si="1"/>
        <v>6</v>
      </c>
      <c r="AU86" s="13">
        <f t="shared" si="2"/>
        <v>6</v>
      </c>
      <c r="AV86" s="13">
        <f t="shared" si="3"/>
        <v>6</v>
      </c>
      <c r="AW86" s="17">
        <f t="shared" si="4"/>
        <v>1370</v>
      </c>
      <c r="AX86" s="18" t="str">
        <f>VLOOKUP(AW86,FINALGRADES,3,TRUE)</f>
        <v>MMP</v>
      </c>
      <c r="AY86" s="10">
        <f>VLOOKUP(AW86,FINALGRADES,4,TRUE)</f>
        <v>200</v>
      </c>
      <c r="AZ86" s="11">
        <f>VLOOKUP(G86,TARGETPOINTS,2,FALSE)</f>
        <v>280</v>
      </c>
      <c r="BA86" s="11" t="str">
        <f t="shared" si="5"/>
        <v>Under</v>
      </c>
      <c r="BB86" s="10"/>
      <c r="BC86" s="11"/>
      <c r="BD86" s="11"/>
    </row>
    <row r="87" spans="1:56" ht="11.25" customHeight="1">
      <c r="A87" s="13">
        <v>4</v>
      </c>
      <c r="B87" s="13">
        <v>5710107</v>
      </c>
      <c r="C87" s="12" t="s">
        <v>193</v>
      </c>
      <c r="D87" s="12" t="s">
        <v>194</v>
      </c>
      <c r="E87" s="13" t="s">
        <v>24</v>
      </c>
      <c r="F87" s="14">
        <v>33042</v>
      </c>
      <c r="G87" s="13" t="s">
        <v>65</v>
      </c>
      <c r="H87" s="16" t="s">
        <v>24</v>
      </c>
      <c r="I87" s="15">
        <f>IF(ISBLANK(H87),0,VLOOKUP(H87,UNITGRADES,2,FALSE))</f>
        <v>80</v>
      </c>
      <c r="J87" s="16" t="s">
        <v>25</v>
      </c>
      <c r="K87" s="15">
        <f>IF(ISBLANK(J87),0,VLOOKUP(J87,UNITGRADES,2,FALSE))</f>
        <v>90</v>
      </c>
      <c r="L87" s="16" t="s">
        <v>25</v>
      </c>
      <c r="M87" s="15">
        <f>IF(ISBLANK(L87),0,VLOOKUP(L87,UNITGRADES,2,FALSE))</f>
        <v>90</v>
      </c>
      <c r="N87" s="16" t="s">
        <v>23</v>
      </c>
      <c r="O87" s="15">
        <f>IF(ISBLANK(N87),0,VLOOKUP(N87,UNITGRADES,2,FALSE))</f>
        <v>70</v>
      </c>
      <c r="P87" s="16" t="s">
        <v>23</v>
      </c>
      <c r="Q87" s="15">
        <f>IF(ISBLANK(P87),0,VLOOKUP(P87,UNITGRADES,2,FALSE))</f>
        <v>70</v>
      </c>
      <c r="R87" s="16" t="s">
        <v>23</v>
      </c>
      <c r="S87" s="15">
        <f>IF(ISBLANK(R87),0,VLOOKUP(R87,UNITGRADES,2,FALSE))</f>
        <v>70</v>
      </c>
      <c r="T87" s="16" t="s">
        <v>24</v>
      </c>
      <c r="U87" s="15">
        <f>IF(ISBLANK(T87),0,VLOOKUP(T87,UNITGRADES,2,FALSE))</f>
        <v>80</v>
      </c>
      <c r="V87" s="16" t="s">
        <v>24</v>
      </c>
      <c r="W87" s="15">
        <f>IF(ISBLANK(H87),0,VLOOKUP(H87,UNITGRADES,2,FALSE))</f>
        <v>80</v>
      </c>
      <c r="X87" s="16" t="s">
        <v>25</v>
      </c>
      <c r="Y87" s="15">
        <f>IF(ISBLANK(X87),0,VLOOKUP(X87,UNITGRADES,2,FALSE))</f>
        <v>90</v>
      </c>
      <c r="Z87" s="15">
        <f t="shared" si="0"/>
        <v>720</v>
      </c>
      <c r="AA87" s="15" t="str">
        <f>VLOOKUP(Z87*2,FINALGRADES,3,TRUE)</f>
        <v>DMM</v>
      </c>
      <c r="AB87" s="16" t="s">
        <v>25</v>
      </c>
      <c r="AC87" s="15">
        <f>IF(ISBLANK(AB87),0,VLOOKUP(AB87,UNITGRADES,2,FALSE))</f>
        <v>90</v>
      </c>
      <c r="AD87" s="16" t="s">
        <v>25</v>
      </c>
      <c r="AE87" s="15">
        <f>IF(ISBLANK(AD87),0,VLOOKUP(AD87,UNITGRADES,2,FALSE))</f>
        <v>90</v>
      </c>
      <c r="AF87" s="16" t="s">
        <v>23</v>
      </c>
      <c r="AG87" s="15">
        <f>IF(ISBLANK(AF87),0,VLOOKUP(AF87,UNITGRADES,2,FALSE))</f>
        <v>70</v>
      </c>
      <c r="AH87" s="16" t="s">
        <v>25</v>
      </c>
      <c r="AI87" s="15">
        <f>IF(ISBLANK(AH87),0,VLOOKUP(AH87,UNITGRADES,2,FALSE))</f>
        <v>90</v>
      </c>
      <c r="AJ87" s="16" t="s">
        <v>23</v>
      </c>
      <c r="AK87" s="15">
        <f>IF(ISBLANK(AJ87),0,VLOOKUP(AJ87,UNITGRADES,2,FALSE))</f>
        <v>70</v>
      </c>
      <c r="AL87" s="16" t="s">
        <v>24</v>
      </c>
      <c r="AM87" s="15">
        <f>IF(ISBLANK(AL87),0,VLOOKUP(AL87,UNITGRADES,2,FALSE))</f>
        <v>80</v>
      </c>
      <c r="AN87" s="16" t="s">
        <v>23</v>
      </c>
      <c r="AO87" s="15">
        <f>IF(ISBLANK(AN87),0,VLOOKUP(AN87,UNITGRADES,2,FALSE))</f>
        <v>70</v>
      </c>
      <c r="AP87" s="16" t="s">
        <v>25</v>
      </c>
      <c r="AQ87" s="15">
        <f>IF(ISBLANK(AP87),0,VLOOKUP(AP87,UNITGRADES,2,FALSE))</f>
        <v>90</v>
      </c>
      <c r="AR87" s="16" t="s">
        <v>24</v>
      </c>
      <c r="AS87" s="11">
        <f>IF(ISBLANK(AR87),0,VLOOKUP(AR87,UNITGRADES,2,FALSE))</f>
        <v>80</v>
      </c>
      <c r="AT87" s="13">
        <f t="shared" si="1"/>
        <v>6</v>
      </c>
      <c r="AU87" s="13">
        <f t="shared" si="2"/>
        <v>5</v>
      </c>
      <c r="AV87" s="13">
        <f t="shared" si="3"/>
        <v>7</v>
      </c>
      <c r="AW87" s="17">
        <f t="shared" si="4"/>
        <v>1370</v>
      </c>
      <c r="AX87" s="18" t="str">
        <f>VLOOKUP(AW87,FINALGRADES,3,TRUE)</f>
        <v>MMP</v>
      </c>
      <c r="AY87" s="10">
        <f>VLOOKUP(AW87,FINALGRADES,4,TRUE)</f>
        <v>200</v>
      </c>
      <c r="AZ87" s="11">
        <f>VLOOKUP(G87,TARGETPOINTS,2,FALSE)</f>
        <v>280</v>
      </c>
      <c r="BA87" s="11" t="str">
        <f t="shared" si="5"/>
        <v>Under</v>
      </c>
      <c r="BB87" s="10"/>
      <c r="BC87" s="11"/>
      <c r="BD87" s="11"/>
    </row>
    <row r="88" spans="1:56" ht="11.25" customHeight="1">
      <c r="A88" s="13">
        <v>1</v>
      </c>
      <c r="B88" s="13">
        <v>5415265</v>
      </c>
      <c r="C88" s="12" t="s">
        <v>86</v>
      </c>
      <c r="D88" s="12" t="s">
        <v>195</v>
      </c>
      <c r="E88" s="13" t="s">
        <v>24</v>
      </c>
      <c r="F88" s="14">
        <v>33930</v>
      </c>
      <c r="G88" s="13" t="s">
        <v>37</v>
      </c>
      <c r="H88" s="16" t="s">
        <v>25</v>
      </c>
      <c r="I88" s="15">
        <f>IF(ISBLANK(H88),0,VLOOKUP(H88,UNITGRADES,2,FALSE))</f>
        <v>90</v>
      </c>
      <c r="J88" s="16" t="s">
        <v>25</v>
      </c>
      <c r="K88" s="15">
        <f>IF(ISBLANK(J88),0,VLOOKUP(J88,UNITGRADES,2,FALSE))</f>
        <v>90</v>
      </c>
      <c r="L88" s="16" t="s">
        <v>25</v>
      </c>
      <c r="M88" s="15">
        <f>IF(ISBLANK(L88),0,VLOOKUP(L88,UNITGRADES,2,FALSE))</f>
        <v>90</v>
      </c>
      <c r="N88" s="16" t="s">
        <v>24</v>
      </c>
      <c r="O88" s="15">
        <f>IF(ISBLANK(N88),0,VLOOKUP(N88,UNITGRADES,2,FALSE))</f>
        <v>80</v>
      </c>
      <c r="P88" s="16" t="s">
        <v>23</v>
      </c>
      <c r="Q88" s="15">
        <f>IF(ISBLANK(P88),0,VLOOKUP(P88,UNITGRADES,2,FALSE))</f>
        <v>70</v>
      </c>
      <c r="R88" s="16" t="s">
        <v>24</v>
      </c>
      <c r="S88" s="15">
        <f>IF(ISBLANK(R88),0,VLOOKUP(R88,UNITGRADES,2,FALSE))</f>
        <v>80</v>
      </c>
      <c r="T88" s="16" t="s">
        <v>24</v>
      </c>
      <c r="U88" s="15">
        <f>IF(ISBLANK(T88),0,VLOOKUP(T88,UNITGRADES,2,FALSE))</f>
        <v>80</v>
      </c>
      <c r="V88" s="16" t="s">
        <v>24</v>
      </c>
      <c r="W88" s="15">
        <f>IF(ISBLANK(H88),0,VLOOKUP(H88,UNITGRADES,2,FALSE))</f>
        <v>90</v>
      </c>
      <c r="X88" s="16" t="s">
        <v>25</v>
      </c>
      <c r="Y88" s="15">
        <f>IF(ISBLANK(X88),0,VLOOKUP(X88,UNITGRADES,2,FALSE))</f>
        <v>90</v>
      </c>
      <c r="Z88" s="15">
        <f t="shared" si="0"/>
        <v>760</v>
      </c>
      <c r="AA88" s="15" t="str">
        <f>VLOOKUP(Z88*2,FINALGRADES,3,TRUE)</f>
        <v>DDD</v>
      </c>
      <c r="AB88" s="16" t="s">
        <v>23</v>
      </c>
      <c r="AC88" s="15">
        <f>IF(ISBLANK(AB88),0,VLOOKUP(AB88,UNITGRADES,2,FALSE))</f>
        <v>70</v>
      </c>
      <c r="AD88" s="16" t="s">
        <v>25</v>
      </c>
      <c r="AE88" s="15">
        <f>IF(ISBLANK(AD88),0,VLOOKUP(AD88,UNITGRADES,2,FALSE))</f>
        <v>90</v>
      </c>
      <c r="AF88" s="16" t="s">
        <v>25</v>
      </c>
      <c r="AG88" s="15">
        <f>IF(ISBLANK(AF88),0,VLOOKUP(AF88,UNITGRADES,2,FALSE))</f>
        <v>90</v>
      </c>
      <c r="AH88" s="16" t="s">
        <v>23</v>
      </c>
      <c r="AI88" s="15">
        <f>IF(ISBLANK(AH88),0,VLOOKUP(AH88,UNITGRADES,2,FALSE))</f>
        <v>70</v>
      </c>
      <c r="AJ88" s="16" t="s">
        <v>24</v>
      </c>
      <c r="AK88" s="15">
        <f>IF(ISBLANK(AJ88),0,VLOOKUP(AJ88,UNITGRADES,2,FALSE))</f>
        <v>80</v>
      </c>
      <c r="AL88" s="16" t="s">
        <v>23</v>
      </c>
      <c r="AM88" s="15">
        <f>IF(ISBLANK(AL88),0,VLOOKUP(AL88,UNITGRADES,2,FALSE))</f>
        <v>70</v>
      </c>
      <c r="AN88" s="16" t="s">
        <v>23</v>
      </c>
      <c r="AO88" s="15">
        <f>IF(ISBLANK(AN88),0,VLOOKUP(AN88,UNITGRADES,2,FALSE))</f>
        <v>70</v>
      </c>
      <c r="AP88" s="16" t="s">
        <v>24</v>
      </c>
      <c r="AQ88" s="15">
        <f>IF(ISBLANK(AP88),0,VLOOKUP(AP88,UNITGRADES,2,FALSE))</f>
        <v>80</v>
      </c>
      <c r="AR88" s="16" t="s">
        <v>25</v>
      </c>
      <c r="AS88" s="11">
        <f>IF(ISBLANK(AR88),0,VLOOKUP(AR88,UNITGRADES,2,FALSE))</f>
        <v>90</v>
      </c>
      <c r="AT88" s="13">
        <f t="shared" si="1"/>
        <v>5</v>
      </c>
      <c r="AU88" s="13">
        <f t="shared" si="2"/>
        <v>6</v>
      </c>
      <c r="AV88" s="13">
        <f t="shared" si="3"/>
        <v>7</v>
      </c>
      <c r="AW88" s="17">
        <f t="shared" si="4"/>
        <v>1380</v>
      </c>
      <c r="AX88" s="18" t="str">
        <f>VLOOKUP(AW88,FINALGRADES,3,TRUE)</f>
        <v>MMM</v>
      </c>
      <c r="AY88" s="10">
        <f>VLOOKUP(AW88,FINALGRADES,4,TRUE)</f>
        <v>240</v>
      </c>
      <c r="AZ88" s="11">
        <f>VLOOKUP(G88,TARGETPOINTS,2,FALSE)</f>
        <v>120</v>
      </c>
      <c r="BA88" s="11" t="str">
        <f t="shared" si="5"/>
        <v>Over</v>
      </c>
      <c r="BB88" s="10"/>
      <c r="BC88" s="11"/>
      <c r="BD88" s="11"/>
    </row>
    <row r="89" spans="1:56" ht="11.25" customHeight="1">
      <c r="A89" s="13">
        <v>2</v>
      </c>
      <c r="B89" s="13">
        <v>5706191</v>
      </c>
      <c r="C89" s="12" t="s">
        <v>196</v>
      </c>
      <c r="D89" s="12" t="s">
        <v>197</v>
      </c>
      <c r="E89" s="13" t="s">
        <v>24</v>
      </c>
      <c r="F89" s="14">
        <v>33065</v>
      </c>
      <c r="G89" s="13" t="s">
        <v>37</v>
      </c>
      <c r="H89" s="16" t="s">
        <v>25</v>
      </c>
      <c r="I89" s="15">
        <f>IF(ISBLANK(H89),0,VLOOKUP(H89,UNITGRADES,2,FALSE))</f>
        <v>90</v>
      </c>
      <c r="J89" s="16" t="s">
        <v>25</v>
      </c>
      <c r="K89" s="15">
        <f>IF(ISBLANK(J89),0,VLOOKUP(J89,UNITGRADES,2,FALSE))</f>
        <v>90</v>
      </c>
      <c r="L89" s="16" t="s">
        <v>24</v>
      </c>
      <c r="M89" s="15">
        <f>IF(ISBLANK(L89),0,VLOOKUP(L89,UNITGRADES,2,FALSE))</f>
        <v>80</v>
      </c>
      <c r="N89" s="16" t="s">
        <v>24</v>
      </c>
      <c r="O89" s="15">
        <f>IF(ISBLANK(N89),0,VLOOKUP(N89,UNITGRADES,2,FALSE))</f>
        <v>80</v>
      </c>
      <c r="P89" s="16" t="s">
        <v>25</v>
      </c>
      <c r="Q89" s="15">
        <f>IF(ISBLANK(P89),0,VLOOKUP(P89,UNITGRADES,2,FALSE))</f>
        <v>90</v>
      </c>
      <c r="R89" s="16" t="s">
        <v>23</v>
      </c>
      <c r="S89" s="15">
        <f>IF(ISBLANK(R89),0,VLOOKUP(R89,UNITGRADES,2,FALSE))</f>
        <v>70</v>
      </c>
      <c r="T89" s="16" t="s">
        <v>24</v>
      </c>
      <c r="U89" s="15">
        <f>IF(ISBLANK(T89),0,VLOOKUP(T89,UNITGRADES,2,FALSE))</f>
        <v>80</v>
      </c>
      <c r="V89" s="16" t="s">
        <v>25</v>
      </c>
      <c r="W89" s="15">
        <f>IF(ISBLANK(H89),0,VLOOKUP(H89,UNITGRADES,2,FALSE))</f>
        <v>90</v>
      </c>
      <c r="X89" s="16" t="s">
        <v>23</v>
      </c>
      <c r="Y89" s="15">
        <f>IF(ISBLANK(X89),0,VLOOKUP(X89,UNITGRADES,2,FALSE))</f>
        <v>70</v>
      </c>
      <c r="Z89" s="15">
        <f t="shared" si="0"/>
        <v>740</v>
      </c>
      <c r="AA89" s="15" t="str">
        <f>VLOOKUP(Z89*2,FINALGRADES,3,TRUE)</f>
        <v>DDM</v>
      </c>
      <c r="AB89" s="16" t="s">
        <v>24</v>
      </c>
      <c r="AC89" s="15">
        <f>IF(ISBLANK(AB89),0,VLOOKUP(AB89,UNITGRADES,2,FALSE))</f>
        <v>80</v>
      </c>
      <c r="AD89" s="16" t="s">
        <v>24</v>
      </c>
      <c r="AE89" s="15">
        <f>IF(ISBLANK(AD89),0,VLOOKUP(AD89,UNITGRADES,2,FALSE))</f>
        <v>80</v>
      </c>
      <c r="AF89" s="16" t="s">
        <v>25</v>
      </c>
      <c r="AG89" s="15">
        <f>IF(ISBLANK(AF89),0,VLOOKUP(AF89,UNITGRADES,2,FALSE))</f>
        <v>90</v>
      </c>
      <c r="AH89" s="16" t="s">
        <v>25</v>
      </c>
      <c r="AI89" s="15">
        <f>IF(ISBLANK(AH89),0,VLOOKUP(AH89,UNITGRADES,2,FALSE))</f>
        <v>90</v>
      </c>
      <c r="AJ89" s="16" t="s">
        <v>23</v>
      </c>
      <c r="AK89" s="15">
        <f>IF(ISBLANK(AJ89),0,VLOOKUP(AJ89,UNITGRADES,2,FALSE))</f>
        <v>70</v>
      </c>
      <c r="AL89" s="16" t="s">
        <v>23</v>
      </c>
      <c r="AM89" s="15">
        <f>IF(ISBLANK(AL89),0,VLOOKUP(AL89,UNITGRADES,2,FALSE))</f>
        <v>70</v>
      </c>
      <c r="AN89" s="16" t="s">
        <v>23</v>
      </c>
      <c r="AO89" s="15">
        <f>IF(ISBLANK(AN89),0,VLOOKUP(AN89,UNITGRADES,2,FALSE))</f>
        <v>70</v>
      </c>
      <c r="AP89" s="16" t="s">
        <v>25</v>
      </c>
      <c r="AQ89" s="15">
        <f>IF(ISBLANK(AP89),0,VLOOKUP(AP89,UNITGRADES,2,FALSE))</f>
        <v>90</v>
      </c>
      <c r="AR89" s="16" t="s">
        <v>25</v>
      </c>
      <c r="AS89" s="11">
        <f>IF(ISBLANK(AR89),0,VLOOKUP(AR89,UNITGRADES,2,FALSE))</f>
        <v>90</v>
      </c>
      <c r="AT89" s="13">
        <f t="shared" si="1"/>
        <v>5</v>
      </c>
      <c r="AU89" s="13">
        <f t="shared" si="2"/>
        <v>5</v>
      </c>
      <c r="AV89" s="13">
        <f t="shared" si="3"/>
        <v>8</v>
      </c>
      <c r="AW89" s="17">
        <f t="shared" si="4"/>
        <v>1380</v>
      </c>
      <c r="AX89" s="18" t="str">
        <f>VLOOKUP(AW89,FINALGRADES,3,TRUE)</f>
        <v>MMM</v>
      </c>
      <c r="AY89" s="10">
        <f>VLOOKUP(AW89,FINALGRADES,4,TRUE)</f>
        <v>240</v>
      </c>
      <c r="AZ89" s="11">
        <f>VLOOKUP(G89,TARGETPOINTS,2,FALSE)</f>
        <v>120</v>
      </c>
      <c r="BA89" s="11" t="str">
        <f t="shared" si="5"/>
        <v>Over</v>
      </c>
      <c r="BB89" s="10"/>
      <c r="BC89" s="11"/>
      <c r="BD89" s="11"/>
    </row>
    <row r="90" spans="1:56" ht="11.25" customHeight="1">
      <c r="A90" s="13">
        <v>2</v>
      </c>
      <c r="B90" s="13">
        <v>6283727</v>
      </c>
      <c r="C90" s="12" t="s">
        <v>198</v>
      </c>
      <c r="D90" s="12" t="s">
        <v>199</v>
      </c>
      <c r="E90" s="13" t="s">
        <v>24</v>
      </c>
      <c r="F90" s="14">
        <v>34006</v>
      </c>
      <c r="G90" s="13" t="s">
        <v>29</v>
      </c>
      <c r="H90" s="16" t="s">
        <v>24</v>
      </c>
      <c r="I90" s="15">
        <f>IF(ISBLANK(H90),0,VLOOKUP(H90,UNITGRADES,2,FALSE))</f>
        <v>80</v>
      </c>
      <c r="J90" s="16" t="s">
        <v>24</v>
      </c>
      <c r="K90" s="15">
        <f>IF(ISBLANK(J90),0,VLOOKUP(J90,UNITGRADES,2,FALSE))</f>
        <v>80</v>
      </c>
      <c r="L90" s="16" t="s">
        <v>25</v>
      </c>
      <c r="M90" s="15">
        <f>IF(ISBLANK(L90),0,VLOOKUP(L90,UNITGRADES,2,FALSE))</f>
        <v>90</v>
      </c>
      <c r="N90" s="16" t="s">
        <v>24</v>
      </c>
      <c r="O90" s="15">
        <f>IF(ISBLANK(N90),0,VLOOKUP(N90,UNITGRADES,2,FALSE))</f>
        <v>80</v>
      </c>
      <c r="P90" s="16" t="s">
        <v>24</v>
      </c>
      <c r="Q90" s="15">
        <f>IF(ISBLANK(P90),0,VLOOKUP(P90,UNITGRADES,2,FALSE))</f>
        <v>80</v>
      </c>
      <c r="R90" s="16" t="s">
        <v>25</v>
      </c>
      <c r="S90" s="15">
        <f>IF(ISBLANK(R90),0,VLOOKUP(R90,UNITGRADES,2,FALSE))</f>
        <v>90</v>
      </c>
      <c r="T90" s="16" t="s">
        <v>24</v>
      </c>
      <c r="U90" s="15">
        <f>IF(ISBLANK(T90),0,VLOOKUP(T90,UNITGRADES,2,FALSE))</f>
        <v>80</v>
      </c>
      <c r="V90" s="16" t="s">
        <v>23</v>
      </c>
      <c r="W90" s="15">
        <f>IF(ISBLANK(H90),0,VLOOKUP(H90,UNITGRADES,2,FALSE))</f>
        <v>80</v>
      </c>
      <c r="X90" s="16" t="s">
        <v>23</v>
      </c>
      <c r="Y90" s="15">
        <f>IF(ISBLANK(X90),0,VLOOKUP(X90,UNITGRADES,2,FALSE))</f>
        <v>70</v>
      </c>
      <c r="Z90" s="15">
        <f t="shared" si="0"/>
        <v>730</v>
      </c>
      <c r="AA90" s="15" t="str">
        <f>VLOOKUP(Z90*2,FINALGRADES,3,TRUE)</f>
        <v>DDM</v>
      </c>
      <c r="AB90" s="16" t="s">
        <v>23</v>
      </c>
      <c r="AC90" s="15">
        <f>IF(ISBLANK(AB90),0,VLOOKUP(AB90,UNITGRADES,2,FALSE))</f>
        <v>70</v>
      </c>
      <c r="AD90" s="16" t="s">
        <v>23</v>
      </c>
      <c r="AE90" s="15">
        <f>IF(ISBLANK(AD90),0,VLOOKUP(AD90,UNITGRADES,2,FALSE))</f>
        <v>70</v>
      </c>
      <c r="AF90" s="16" t="s">
        <v>25</v>
      </c>
      <c r="AG90" s="15">
        <f>IF(ISBLANK(AF90),0,VLOOKUP(AF90,UNITGRADES,2,FALSE))</f>
        <v>90</v>
      </c>
      <c r="AH90" s="16" t="s">
        <v>25</v>
      </c>
      <c r="AI90" s="15">
        <f>IF(ISBLANK(AH90),0,VLOOKUP(AH90,UNITGRADES,2,FALSE))</f>
        <v>90</v>
      </c>
      <c r="AJ90" s="16" t="s">
        <v>25</v>
      </c>
      <c r="AK90" s="15">
        <f>IF(ISBLANK(AJ90),0,VLOOKUP(AJ90,UNITGRADES,2,FALSE))</f>
        <v>90</v>
      </c>
      <c r="AL90" s="16" t="s">
        <v>24</v>
      </c>
      <c r="AM90" s="15">
        <f>IF(ISBLANK(AL90),0,VLOOKUP(AL90,UNITGRADES,2,FALSE))</f>
        <v>80</v>
      </c>
      <c r="AN90" s="16" t="s">
        <v>25</v>
      </c>
      <c r="AO90" s="15">
        <f>IF(ISBLANK(AN90),0,VLOOKUP(AN90,UNITGRADES,2,FALSE))</f>
        <v>90</v>
      </c>
      <c r="AP90" s="16" t="s">
        <v>23</v>
      </c>
      <c r="AQ90" s="15">
        <f>IF(ISBLANK(AP90),0,VLOOKUP(AP90,UNITGRADES,2,FALSE))</f>
        <v>70</v>
      </c>
      <c r="AR90" s="16" t="s">
        <v>25</v>
      </c>
      <c r="AS90" s="11">
        <f>IF(ISBLANK(AR90),0,VLOOKUP(AR90,UNITGRADES,2,FALSE))</f>
        <v>90</v>
      </c>
      <c r="AT90" s="13">
        <f t="shared" si="1"/>
        <v>5</v>
      </c>
      <c r="AU90" s="13">
        <f t="shared" si="2"/>
        <v>6</v>
      </c>
      <c r="AV90" s="13">
        <f t="shared" si="3"/>
        <v>7</v>
      </c>
      <c r="AW90" s="17">
        <f t="shared" si="4"/>
        <v>1380</v>
      </c>
      <c r="AX90" s="18" t="str">
        <f>VLOOKUP(AW90,FINALGRADES,3,TRUE)</f>
        <v>MMM</v>
      </c>
      <c r="AY90" s="10">
        <f>VLOOKUP(AW90,FINALGRADES,4,TRUE)</f>
        <v>240</v>
      </c>
      <c r="AZ90" s="11">
        <f>VLOOKUP(G90,TARGETPOINTS,2,FALSE)</f>
        <v>360</v>
      </c>
      <c r="BA90" s="11" t="str">
        <f t="shared" si="5"/>
        <v>Under</v>
      </c>
      <c r="BB90" s="10"/>
      <c r="BC90" s="11"/>
      <c r="BD90" s="11"/>
    </row>
    <row r="91" spans="1:56" ht="11.25" customHeight="1">
      <c r="A91" s="13">
        <v>2</v>
      </c>
      <c r="B91" s="13">
        <v>5355699</v>
      </c>
      <c r="C91" s="12" t="s">
        <v>200</v>
      </c>
      <c r="D91" s="12" t="s">
        <v>201</v>
      </c>
      <c r="E91" s="13" t="s">
        <v>24</v>
      </c>
      <c r="F91" s="14">
        <v>33793</v>
      </c>
      <c r="G91" s="13" t="s">
        <v>32</v>
      </c>
      <c r="H91" s="16" t="s">
        <v>25</v>
      </c>
      <c r="I91" s="15">
        <f>IF(ISBLANK(H91),0,VLOOKUP(H91,UNITGRADES,2,FALSE))</f>
        <v>90</v>
      </c>
      <c r="J91" s="16" t="s">
        <v>24</v>
      </c>
      <c r="K91" s="15">
        <f>IF(ISBLANK(J91),0,VLOOKUP(J91,UNITGRADES,2,FALSE))</f>
        <v>80</v>
      </c>
      <c r="L91" s="16" t="s">
        <v>24</v>
      </c>
      <c r="M91" s="15">
        <f>IF(ISBLANK(L91),0,VLOOKUP(L91,UNITGRADES,2,FALSE))</f>
        <v>80</v>
      </c>
      <c r="N91" s="16" t="s">
        <v>25</v>
      </c>
      <c r="O91" s="15">
        <f>IF(ISBLANK(N91),0,VLOOKUP(N91,UNITGRADES,2,FALSE))</f>
        <v>90</v>
      </c>
      <c r="P91" s="16" t="s">
        <v>25</v>
      </c>
      <c r="Q91" s="15">
        <f>IF(ISBLANK(P91),0,VLOOKUP(P91,UNITGRADES,2,FALSE))</f>
        <v>90</v>
      </c>
      <c r="R91" s="16" t="s">
        <v>24</v>
      </c>
      <c r="S91" s="15">
        <f>IF(ISBLANK(R91),0,VLOOKUP(R91,UNITGRADES,2,FALSE))</f>
        <v>80</v>
      </c>
      <c r="T91" s="16" t="s">
        <v>25</v>
      </c>
      <c r="U91" s="15">
        <f>IF(ISBLANK(T91),0,VLOOKUP(T91,UNITGRADES,2,FALSE))</f>
        <v>90</v>
      </c>
      <c r="V91" s="16" t="s">
        <v>25</v>
      </c>
      <c r="W91" s="15">
        <f>IF(ISBLANK(H91),0,VLOOKUP(H91,UNITGRADES,2,FALSE))</f>
        <v>90</v>
      </c>
      <c r="X91" s="16" t="s">
        <v>24</v>
      </c>
      <c r="Y91" s="15">
        <f>IF(ISBLANK(X91),0,VLOOKUP(X91,UNITGRADES,2,FALSE))</f>
        <v>80</v>
      </c>
      <c r="Z91" s="15">
        <f t="shared" si="0"/>
        <v>770</v>
      </c>
      <c r="AA91" s="15" t="str">
        <f>VLOOKUP(Z91*2,FINALGRADES,3,TRUE)</f>
        <v>DDD*</v>
      </c>
      <c r="AB91" s="16" t="s">
        <v>24</v>
      </c>
      <c r="AC91" s="15">
        <f>IF(ISBLANK(AB91),0,VLOOKUP(AB91,UNITGRADES,2,FALSE))</f>
        <v>80</v>
      </c>
      <c r="AD91" s="16" t="s">
        <v>24</v>
      </c>
      <c r="AE91" s="15">
        <f>IF(ISBLANK(AD91),0,VLOOKUP(AD91,UNITGRADES,2,FALSE))</f>
        <v>80</v>
      </c>
      <c r="AF91" s="16" t="s">
        <v>23</v>
      </c>
      <c r="AG91" s="15">
        <f>IF(ISBLANK(AF91),0,VLOOKUP(AF91,UNITGRADES,2,FALSE))</f>
        <v>70</v>
      </c>
      <c r="AH91" s="16" t="s">
        <v>25</v>
      </c>
      <c r="AI91" s="15">
        <f>IF(ISBLANK(AH91),0,VLOOKUP(AH91,UNITGRADES,2,FALSE))</f>
        <v>90</v>
      </c>
      <c r="AJ91" s="16" t="s">
        <v>23</v>
      </c>
      <c r="AK91" s="15">
        <f>IF(ISBLANK(AJ91),0,VLOOKUP(AJ91,UNITGRADES,2,FALSE))</f>
        <v>70</v>
      </c>
      <c r="AL91" s="16" t="s">
        <v>23</v>
      </c>
      <c r="AM91" s="15">
        <f>IF(ISBLANK(AL91),0,VLOOKUP(AL91,UNITGRADES,2,FALSE))</f>
        <v>70</v>
      </c>
      <c r="AN91" s="16" t="s">
        <v>23</v>
      </c>
      <c r="AO91" s="15">
        <f>IF(ISBLANK(AN91),0,VLOOKUP(AN91,UNITGRADES,2,FALSE))</f>
        <v>70</v>
      </c>
      <c r="AP91" s="16" t="s">
        <v>24</v>
      </c>
      <c r="AQ91" s="15">
        <f>IF(ISBLANK(AP91),0,VLOOKUP(AP91,UNITGRADES,2,FALSE))</f>
        <v>80</v>
      </c>
      <c r="AR91" s="16" t="s">
        <v>25</v>
      </c>
      <c r="AS91" s="11">
        <f>IF(ISBLANK(AR91),0,VLOOKUP(AR91,UNITGRADES,2,FALSE))</f>
        <v>90</v>
      </c>
      <c r="AT91" s="13">
        <f t="shared" si="1"/>
        <v>4</v>
      </c>
      <c r="AU91" s="13">
        <f t="shared" si="2"/>
        <v>7</v>
      </c>
      <c r="AV91" s="13">
        <f t="shared" si="3"/>
        <v>7</v>
      </c>
      <c r="AW91" s="17">
        <f t="shared" si="4"/>
        <v>1380</v>
      </c>
      <c r="AX91" s="18" t="str">
        <f>VLOOKUP(AW91,FINALGRADES,3,TRUE)</f>
        <v>MMM</v>
      </c>
      <c r="AY91" s="10">
        <f>VLOOKUP(AW91,FINALGRADES,4,TRUE)</f>
        <v>240</v>
      </c>
      <c r="AZ91" s="11">
        <f>VLOOKUP(G91,TARGETPOINTS,2,FALSE)</f>
        <v>240</v>
      </c>
      <c r="BA91" s="11" t="str">
        <f t="shared" si="5"/>
        <v>Same</v>
      </c>
      <c r="BB91" s="10"/>
      <c r="BC91" s="11"/>
      <c r="BD91" s="11"/>
    </row>
    <row r="92" spans="1:56" ht="11.25" customHeight="1">
      <c r="A92" s="13">
        <v>3</v>
      </c>
      <c r="B92" s="13">
        <v>9640879</v>
      </c>
      <c r="C92" s="12" t="s">
        <v>202</v>
      </c>
      <c r="D92" s="12" t="s">
        <v>203</v>
      </c>
      <c r="E92" s="13" t="s">
        <v>24</v>
      </c>
      <c r="F92" s="14">
        <v>32872</v>
      </c>
      <c r="G92" s="13" t="s">
        <v>37</v>
      </c>
      <c r="H92" s="16" t="s">
        <v>23</v>
      </c>
      <c r="I92" s="15">
        <f>IF(ISBLANK(H92),0,VLOOKUP(H92,UNITGRADES,2,FALSE))</f>
        <v>70</v>
      </c>
      <c r="J92" s="16" t="s">
        <v>25</v>
      </c>
      <c r="K92" s="15">
        <f>IF(ISBLANK(J92),0,VLOOKUP(J92,UNITGRADES,2,FALSE))</f>
        <v>90</v>
      </c>
      <c r="L92" s="16" t="s">
        <v>24</v>
      </c>
      <c r="M92" s="15">
        <f>IF(ISBLANK(L92),0,VLOOKUP(L92,UNITGRADES,2,FALSE))</f>
        <v>80</v>
      </c>
      <c r="N92" s="16" t="s">
        <v>23</v>
      </c>
      <c r="O92" s="15">
        <f>IF(ISBLANK(N92),0,VLOOKUP(N92,UNITGRADES,2,FALSE))</f>
        <v>70</v>
      </c>
      <c r="P92" s="16" t="s">
        <v>23</v>
      </c>
      <c r="Q92" s="15">
        <f>IF(ISBLANK(P92),0,VLOOKUP(P92,UNITGRADES,2,FALSE))</f>
        <v>70</v>
      </c>
      <c r="R92" s="16" t="s">
        <v>24</v>
      </c>
      <c r="S92" s="15">
        <f>IF(ISBLANK(R92),0,VLOOKUP(R92,UNITGRADES,2,FALSE))</f>
        <v>80</v>
      </c>
      <c r="T92" s="16" t="s">
        <v>25</v>
      </c>
      <c r="U92" s="15">
        <f>IF(ISBLANK(T92),0,VLOOKUP(T92,UNITGRADES,2,FALSE))</f>
        <v>90</v>
      </c>
      <c r="V92" s="16" t="s">
        <v>25</v>
      </c>
      <c r="W92" s="15">
        <f>IF(ISBLANK(H92),0,VLOOKUP(H92,UNITGRADES,2,FALSE))</f>
        <v>70</v>
      </c>
      <c r="X92" s="16" t="s">
        <v>24</v>
      </c>
      <c r="Y92" s="15">
        <f>IF(ISBLANK(X92),0,VLOOKUP(X92,UNITGRADES,2,FALSE))</f>
        <v>80</v>
      </c>
      <c r="Z92" s="15">
        <f t="shared" si="0"/>
        <v>700</v>
      </c>
      <c r="AA92" s="15" t="str">
        <f>VLOOKUP(Z92*2,FINALGRADES,3,TRUE)</f>
        <v>MMM</v>
      </c>
      <c r="AB92" s="16" t="s">
        <v>25</v>
      </c>
      <c r="AC92" s="15">
        <f>IF(ISBLANK(AB92),0,VLOOKUP(AB92,UNITGRADES,2,FALSE))</f>
        <v>90</v>
      </c>
      <c r="AD92" s="16" t="s">
        <v>25</v>
      </c>
      <c r="AE92" s="15">
        <f>IF(ISBLANK(AD92),0,VLOOKUP(AD92,UNITGRADES,2,FALSE))</f>
        <v>90</v>
      </c>
      <c r="AF92" s="16" t="s">
        <v>24</v>
      </c>
      <c r="AG92" s="15">
        <f>IF(ISBLANK(AF92),0,VLOOKUP(AF92,UNITGRADES,2,FALSE))</f>
        <v>80</v>
      </c>
      <c r="AH92" s="16" t="s">
        <v>25</v>
      </c>
      <c r="AI92" s="15">
        <f>IF(ISBLANK(AH92),0,VLOOKUP(AH92,UNITGRADES,2,FALSE))</f>
        <v>90</v>
      </c>
      <c r="AJ92" s="16" t="s">
        <v>24</v>
      </c>
      <c r="AK92" s="15">
        <f>IF(ISBLANK(AJ92),0,VLOOKUP(AJ92,UNITGRADES,2,FALSE))</f>
        <v>80</v>
      </c>
      <c r="AL92" s="16" t="s">
        <v>24</v>
      </c>
      <c r="AM92" s="15">
        <f>IF(ISBLANK(AL92),0,VLOOKUP(AL92,UNITGRADES,2,FALSE))</f>
        <v>80</v>
      </c>
      <c r="AN92" s="16" t="s">
        <v>25</v>
      </c>
      <c r="AO92" s="15">
        <f>IF(ISBLANK(AN92),0,VLOOKUP(AN92,UNITGRADES,2,FALSE))</f>
        <v>90</v>
      </c>
      <c r="AP92" s="16" t="s">
        <v>24</v>
      </c>
      <c r="AQ92" s="15">
        <f>IF(ISBLANK(AP92),0,VLOOKUP(AP92,UNITGRADES,2,FALSE))</f>
        <v>80</v>
      </c>
      <c r="AR92" s="16" t="s">
        <v>25</v>
      </c>
      <c r="AS92" s="11">
        <f>IF(ISBLANK(AR92),0,VLOOKUP(AR92,UNITGRADES,2,FALSE))</f>
        <v>90</v>
      </c>
      <c r="AT92" s="13">
        <f t="shared" si="1"/>
        <v>3</v>
      </c>
      <c r="AU92" s="13">
        <f t="shared" si="2"/>
        <v>7</v>
      </c>
      <c r="AV92" s="13">
        <f t="shared" si="3"/>
        <v>8</v>
      </c>
      <c r="AW92" s="17">
        <f t="shared" si="4"/>
        <v>1380</v>
      </c>
      <c r="AX92" s="18" t="str">
        <f>VLOOKUP(AW92,FINALGRADES,3,TRUE)</f>
        <v>MMM</v>
      </c>
      <c r="AY92" s="10">
        <f>VLOOKUP(AW92,FINALGRADES,4,TRUE)</f>
        <v>240</v>
      </c>
      <c r="AZ92" s="11">
        <f>VLOOKUP(G92,TARGETPOINTS,2,FALSE)</f>
        <v>120</v>
      </c>
      <c r="BA92" s="11" t="str">
        <f t="shared" si="5"/>
        <v>Over</v>
      </c>
      <c r="BB92" s="10"/>
      <c r="BC92" s="11"/>
      <c r="BD92" s="11"/>
    </row>
    <row r="93" spans="1:56" ht="11.25" customHeight="1">
      <c r="A93" s="13">
        <v>4</v>
      </c>
      <c r="B93" s="13">
        <v>6523222</v>
      </c>
      <c r="C93" s="12" t="s">
        <v>113</v>
      </c>
      <c r="D93" s="12" t="s">
        <v>204</v>
      </c>
      <c r="E93" s="13" t="s">
        <v>24</v>
      </c>
      <c r="F93" s="14">
        <v>33078</v>
      </c>
      <c r="G93" s="13" t="s">
        <v>65</v>
      </c>
      <c r="H93" s="16" t="s">
        <v>24</v>
      </c>
      <c r="I93" s="15">
        <f>IF(ISBLANK(H93),0,VLOOKUP(H93,UNITGRADES,2,FALSE))</f>
        <v>80</v>
      </c>
      <c r="J93" s="16" t="s">
        <v>24</v>
      </c>
      <c r="K93" s="15">
        <f>IF(ISBLANK(J93),0,VLOOKUP(J93,UNITGRADES,2,FALSE))</f>
        <v>80</v>
      </c>
      <c r="L93" s="16" t="s">
        <v>24</v>
      </c>
      <c r="M93" s="15">
        <f>IF(ISBLANK(L93),0,VLOOKUP(L93,UNITGRADES,2,FALSE))</f>
        <v>80</v>
      </c>
      <c r="N93" s="16" t="s">
        <v>24</v>
      </c>
      <c r="O93" s="15">
        <f>IF(ISBLANK(N93),0,VLOOKUP(N93,UNITGRADES,2,FALSE))</f>
        <v>80</v>
      </c>
      <c r="P93" s="16" t="s">
        <v>25</v>
      </c>
      <c r="Q93" s="15">
        <f>IF(ISBLANK(P93),0,VLOOKUP(P93,UNITGRADES,2,FALSE))</f>
        <v>90</v>
      </c>
      <c r="R93" s="16" t="s">
        <v>24</v>
      </c>
      <c r="S93" s="15">
        <f>IF(ISBLANK(R93),0,VLOOKUP(R93,UNITGRADES,2,FALSE))</f>
        <v>80</v>
      </c>
      <c r="T93" s="16" t="s">
        <v>24</v>
      </c>
      <c r="U93" s="15">
        <f>IF(ISBLANK(T93),0,VLOOKUP(T93,UNITGRADES,2,FALSE))</f>
        <v>80</v>
      </c>
      <c r="V93" s="16" t="s">
        <v>24</v>
      </c>
      <c r="W93" s="15">
        <f>IF(ISBLANK(H93),0,VLOOKUP(H93,UNITGRADES,2,FALSE))</f>
        <v>80</v>
      </c>
      <c r="X93" s="16" t="s">
        <v>24</v>
      </c>
      <c r="Y93" s="15">
        <f>IF(ISBLANK(X93),0,VLOOKUP(X93,UNITGRADES,2,FALSE))</f>
        <v>80</v>
      </c>
      <c r="Z93" s="15">
        <f t="shared" si="0"/>
        <v>730</v>
      </c>
      <c r="AA93" s="15" t="str">
        <f>VLOOKUP(Z93*2,FINALGRADES,3,TRUE)</f>
        <v>DDM</v>
      </c>
      <c r="AB93" s="16" t="s">
        <v>25</v>
      </c>
      <c r="AC93" s="15">
        <f>IF(ISBLANK(AB93),0,VLOOKUP(AB93,UNITGRADES,2,FALSE))</f>
        <v>90</v>
      </c>
      <c r="AD93" s="16" t="s">
        <v>24</v>
      </c>
      <c r="AE93" s="15">
        <f>IF(ISBLANK(AD93),0,VLOOKUP(AD93,UNITGRADES,2,FALSE))</f>
        <v>80</v>
      </c>
      <c r="AF93" s="16" t="s">
        <v>25</v>
      </c>
      <c r="AG93" s="15">
        <f>IF(ISBLANK(AF93),0,VLOOKUP(AF93,UNITGRADES,2,FALSE))</f>
        <v>90</v>
      </c>
      <c r="AH93" s="16" t="s">
        <v>25</v>
      </c>
      <c r="AI93" s="15">
        <f>IF(ISBLANK(AH93),0,VLOOKUP(AH93,UNITGRADES,2,FALSE))</f>
        <v>90</v>
      </c>
      <c r="AJ93" s="16" t="s">
        <v>23</v>
      </c>
      <c r="AK93" s="15">
        <f>IF(ISBLANK(AJ93),0,VLOOKUP(AJ93,UNITGRADES,2,FALSE))</f>
        <v>70</v>
      </c>
      <c r="AL93" s="16" t="s">
        <v>24</v>
      </c>
      <c r="AM93" s="15">
        <f>IF(ISBLANK(AL93),0,VLOOKUP(AL93,UNITGRADES,2,FALSE))</f>
        <v>80</v>
      </c>
      <c r="AN93" s="16" t="s">
        <v>24</v>
      </c>
      <c r="AO93" s="15">
        <f>IF(ISBLANK(AN93),0,VLOOKUP(AN93,UNITGRADES,2,FALSE))</f>
        <v>80</v>
      </c>
      <c r="AP93" s="16" t="s">
        <v>23</v>
      </c>
      <c r="AQ93" s="15">
        <f>IF(ISBLANK(AP93),0,VLOOKUP(AP93,UNITGRADES,2,FALSE))</f>
        <v>70</v>
      </c>
      <c r="AR93" s="16" t="s">
        <v>25</v>
      </c>
      <c r="AS93" s="11">
        <f>IF(ISBLANK(AR93),0,VLOOKUP(AR93,UNITGRADES,2,FALSE))</f>
        <v>90</v>
      </c>
      <c r="AT93" s="13">
        <f t="shared" si="1"/>
        <v>2</v>
      </c>
      <c r="AU93" s="13">
        <f t="shared" si="2"/>
        <v>11</v>
      </c>
      <c r="AV93" s="13">
        <f t="shared" si="3"/>
        <v>5</v>
      </c>
      <c r="AW93" s="17">
        <f t="shared" si="4"/>
        <v>1380</v>
      </c>
      <c r="AX93" s="18" t="str">
        <f>VLOOKUP(AW93,FINALGRADES,3,TRUE)</f>
        <v>MMM</v>
      </c>
      <c r="AY93" s="10">
        <f>VLOOKUP(AW93,FINALGRADES,4,TRUE)</f>
        <v>240</v>
      </c>
      <c r="AZ93" s="11">
        <f>VLOOKUP(G93,TARGETPOINTS,2,FALSE)</f>
        <v>280</v>
      </c>
      <c r="BA93" s="11" t="str">
        <f t="shared" si="5"/>
        <v>Under</v>
      </c>
      <c r="BB93" s="10"/>
      <c r="BC93" s="11"/>
      <c r="BD93" s="11"/>
    </row>
    <row r="94" spans="1:56" ht="11.25" customHeight="1">
      <c r="A94" s="13">
        <v>2</v>
      </c>
      <c r="B94" s="13">
        <v>7093490</v>
      </c>
      <c r="C94" s="12" t="s">
        <v>205</v>
      </c>
      <c r="D94" s="12" t="s">
        <v>206</v>
      </c>
      <c r="E94" s="13" t="s">
        <v>24</v>
      </c>
      <c r="F94" s="14">
        <v>32876</v>
      </c>
      <c r="G94" s="13" t="s">
        <v>65</v>
      </c>
      <c r="H94" s="16" t="s">
        <v>25</v>
      </c>
      <c r="I94" s="15">
        <f>IF(ISBLANK(H94),0,VLOOKUP(H94,UNITGRADES,2,FALSE))</f>
        <v>90</v>
      </c>
      <c r="J94" s="16" t="s">
        <v>23</v>
      </c>
      <c r="K94" s="15">
        <f>IF(ISBLANK(J94),0,VLOOKUP(J94,UNITGRADES,2,FALSE))</f>
        <v>70</v>
      </c>
      <c r="L94" s="16" t="s">
        <v>23</v>
      </c>
      <c r="M94" s="15">
        <f>IF(ISBLANK(L94),0,VLOOKUP(L94,UNITGRADES,2,FALSE))</f>
        <v>70</v>
      </c>
      <c r="N94" s="16" t="s">
        <v>23</v>
      </c>
      <c r="O94" s="15">
        <f>IF(ISBLANK(N94),0,VLOOKUP(N94,UNITGRADES,2,FALSE))</f>
        <v>70</v>
      </c>
      <c r="P94" s="16" t="s">
        <v>25</v>
      </c>
      <c r="Q94" s="15">
        <f>IF(ISBLANK(P94),0,VLOOKUP(P94,UNITGRADES,2,FALSE))</f>
        <v>90</v>
      </c>
      <c r="R94" s="16" t="s">
        <v>25</v>
      </c>
      <c r="S94" s="15">
        <f>IF(ISBLANK(R94),0,VLOOKUP(R94,UNITGRADES,2,FALSE))</f>
        <v>90</v>
      </c>
      <c r="T94" s="16" t="s">
        <v>25</v>
      </c>
      <c r="U94" s="15">
        <f>IF(ISBLANK(T94),0,VLOOKUP(T94,UNITGRADES,2,FALSE))</f>
        <v>90</v>
      </c>
      <c r="V94" s="16" t="s">
        <v>25</v>
      </c>
      <c r="W94" s="15">
        <f>IF(ISBLANK(H94),0,VLOOKUP(H94,UNITGRADES,2,FALSE))</f>
        <v>90</v>
      </c>
      <c r="X94" s="16" t="s">
        <v>24</v>
      </c>
      <c r="Y94" s="15">
        <f>IF(ISBLANK(X94),0,VLOOKUP(X94,UNITGRADES,2,FALSE))</f>
        <v>80</v>
      </c>
      <c r="Z94" s="15">
        <f t="shared" si="0"/>
        <v>740</v>
      </c>
      <c r="AA94" s="15" t="str">
        <f>VLOOKUP(Z94*2,FINALGRADES,3,TRUE)</f>
        <v>DDM</v>
      </c>
      <c r="AB94" s="16" t="s">
        <v>24</v>
      </c>
      <c r="AC94" s="15">
        <f>IF(ISBLANK(AB94),0,VLOOKUP(AB94,UNITGRADES,2,FALSE))</f>
        <v>80</v>
      </c>
      <c r="AD94" s="16" t="s">
        <v>24</v>
      </c>
      <c r="AE94" s="15">
        <f>IF(ISBLANK(AD94),0,VLOOKUP(AD94,UNITGRADES,2,FALSE))</f>
        <v>80</v>
      </c>
      <c r="AF94" s="16" t="s">
        <v>25</v>
      </c>
      <c r="AG94" s="15">
        <f>IF(ISBLANK(AF94),0,VLOOKUP(AF94,UNITGRADES,2,FALSE))</f>
        <v>90</v>
      </c>
      <c r="AH94" s="16" t="s">
        <v>24</v>
      </c>
      <c r="AI94" s="15">
        <f>IF(ISBLANK(AH94),0,VLOOKUP(AH94,UNITGRADES,2,FALSE))</f>
        <v>80</v>
      </c>
      <c r="AJ94" s="16" t="s">
        <v>24</v>
      </c>
      <c r="AK94" s="15">
        <f>IF(ISBLANK(AJ94),0,VLOOKUP(AJ94,UNITGRADES,2,FALSE))</f>
        <v>80</v>
      </c>
      <c r="AL94" s="16" t="s">
        <v>24</v>
      </c>
      <c r="AM94" s="15">
        <f>IF(ISBLANK(AL94),0,VLOOKUP(AL94,UNITGRADES,2,FALSE))</f>
        <v>80</v>
      </c>
      <c r="AN94" s="16" t="s">
        <v>24</v>
      </c>
      <c r="AO94" s="15">
        <f>IF(ISBLANK(AN94),0,VLOOKUP(AN94,UNITGRADES,2,FALSE))</f>
        <v>80</v>
      </c>
      <c r="AP94" s="16" t="s">
        <v>24</v>
      </c>
      <c r="AQ94" s="15">
        <f>IF(ISBLANK(AP94),0,VLOOKUP(AP94,UNITGRADES,2,FALSE))</f>
        <v>80</v>
      </c>
      <c r="AR94" s="16" t="s">
        <v>25</v>
      </c>
      <c r="AS94" s="11">
        <f>IF(ISBLANK(AR94),0,VLOOKUP(AR94,UNITGRADES,2,FALSE))</f>
        <v>90</v>
      </c>
      <c r="AT94" s="13">
        <f t="shared" si="1"/>
        <v>3</v>
      </c>
      <c r="AU94" s="13">
        <f t="shared" si="2"/>
        <v>8</v>
      </c>
      <c r="AV94" s="13">
        <f t="shared" si="3"/>
        <v>7</v>
      </c>
      <c r="AW94" s="17">
        <f t="shared" si="4"/>
        <v>1390</v>
      </c>
      <c r="AX94" s="18" t="str">
        <f>VLOOKUP(AW94,FINALGRADES,3,TRUE)</f>
        <v>MMM</v>
      </c>
      <c r="AY94" s="10">
        <f>VLOOKUP(AW94,FINALGRADES,4,TRUE)</f>
        <v>240</v>
      </c>
      <c r="AZ94" s="11">
        <f>VLOOKUP(G94,TARGETPOINTS,2,FALSE)</f>
        <v>280</v>
      </c>
      <c r="BA94" s="11" t="str">
        <f t="shared" si="5"/>
        <v>Under</v>
      </c>
      <c r="BB94" s="10"/>
      <c r="BC94" s="11"/>
      <c r="BD94" s="11"/>
    </row>
    <row r="95" spans="1:56" ht="11.25" customHeight="1">
      <c r="A95" s="13">
        <v>3</v>
      </c>
      <c r="B95" s="13">
        <v>7875768</v>
      </c>
      <c r="C95" s="12" t="s">
        <v>207</v>
      </c>
      <c r="D95" s="12" t="s">
        <v>208</v>
      </c>
      <c r="E95" s="13" t="s">
        <v>24</v>
      </c>
      <c r="F95" s="14">
        <v>33143</v>
      </c>
      <c r="G95" s="13" t="s">
        <v>65</v>
      </c>
      <c r="H95" s="16" t="s">
        <v>24</v>
      </c>
      <c r="I95" s="15">
        <f>IF(ISBLANK(H95),0,VLOOKUP(H95,UNITGRADES,2,FALSE))</f>
        <v>80</v>
      </c>
      <c r="J95" s="16" t="s">
        <v>25</v>
      </c>
      <c r="K95" s="15">
        <f>IF(ISBLANK(J95),0,VLOOKUP(J95,UNITGRADES,2,FALSE))</f>
        <v>90</v>
      </c>
      <c r="L95" s="16" t="s">
        <v>25</v>
      </c>
      <c r="M95" s="15">
        <f>IF(ISBLANK(L95),0,VLOOKUP(L95,UNITGRADES,2,FALSE))</f>
        <v>90</v>
      </c>
      <c r="N95" s="16" t="s">
        <v>24</v>
      </c>
      <c r="O95" s="15">
        <f>IF(ISBLANK(N95),0,VLOOKUP(N95,UNITGRADES,2,FALSE))</f>
        <v>80</v>
      </c>
      <c r="P95" s="16" t="s">
        <v>23</v>
      </c>
      <c r="Q95" s="15">
        <f>IF(ISBLANK(P95),0,VLOOKUP(P95,UNITGRADES,2,FALSE))</f>
        <v>70</v>
      </c>
      <c r="R95" s="16" t="s">
        <v>23</v>
      </c>
      <c r="S95" s="15">
        <f>IF(ISBLANK(R95),0,VLOOKUP(R95,UNITGRADES,2,FALSE))</f>
        <v>70</v>
      </c>
      <c r="T95" s="16" t="s">
        <v>25</v>
      </c>
      <c r="U95" s="15">
        <f>IF(ISBLANK(T95),0,VLOOKUP(T95,UNITGRADES,2,FALSE))</f>
        <v>90</v>
      </c>
      <c r="V95" s="16" t="s">
        <v>25</v>
      </c>
      <c r="W95" s="15">
        <f>IF(ISBLANK(H95),0,VLOOKUP(H95,UNITGRADES,2,FALSE))</f>
        <v>80</v>
      </c>
      <c r="X95" s="16" t="s">
        <v>25</v>
      </c>
      <c r="Y95" s="15">
        <f>IF(ISBLANK(X95),0,VLOOKUP(X95,UNITGRADES,2,FALSE))</f>
        <v>90</v>
      </c>
      <c r="Z95" s="15">
        <f t="shared" si="0"/>
        <v>740</v>
      </c>
      <c r="AA95" s="15" t="str">
        <f>VLOOKUP(Z95*2,FINALGRADES,3,TRUE)</f>
        <v>DDM</v>
      </c>
      <c r="AB95" s="16" t="s">
        <v>23</v>
      </c>
      <c r="AC95" s="15">
        <f>IF(ISBLANK(AB95),0,VLOOKUP(AB95,UNITGRADES,2,FALSE))</f>
        <v>70</v>
      </c>
      <c r="AD95" s="16" t="s">
        <v>23</v>
      </c>
      <c r="AE95" s="15">
        <f>IF(ISBLANK(AD95),0,VLOOKUP(AD95,UNITGRADES,2,FALSE))</f>
        <v>70</v>
      </c>
      <c r="AF95" s="16" t="s">
        <v>24</v>
      </c>
      <c r="AG95" s="15">
        <f>IF(ISBLANK(AF95),0,VLOOKUP(AF95,UNITGRADES,2,FALSE))</f>
        <v>80</v>
      </c>
      <c r="AH95" s="16" t="s">
        <v>25</v>
      </c>
      <c r="AI95" s="15">
        <f>IF(ISBLANK(AH95),0,VLOOKUP(AH95,UNITGRADES,2,FALSE))</f>
        <v>90</v>
      </c>
      <c r="AJ95" s="16" t="s">
        <v>24</v>
      </c>
      <c r="AK95" s="15">
        <f>IF(ISBLANK(AJ95),0,VLOOKUP(AJ95,UNITGRADES,2,FALSE))</f>
        <v>80</v>
      </c>
      <c r="AL95" s="16" t="s">
        <v>25</v>
      </c>
      <c r="AM95" s="15">
        <f>IF(ISBLANK(AL95),0,VLOOKUP(AL95,UNITGRADES,2,FALSE))</f>
        <v>90</v>
      </c>
      <c r="AN95" s="16" t="s">
        <v>25</v>
      </c>
      <c r="AO95" s="15">
        <f>IF(ISBLANK(AN95),0,VLOOKUP(AN95,UNITGRADES,2,FALSE))</f>
        <v>90</v>
      </c>
      <c r="AP95" s="16" t="s">
        <v>24</v>
      </c>
      <c r="AQ95" s="15">
        <f>IF(ISBLANK(AP95),0,VLOOKUP(AP95,UNITGRADES,2,FALSE))</f>
        <v>80</v>
      </c>
      <c r="AR95" s="16" t="s">
        <v>23</v>
      </c>
      <c r="AS95" s="11">
        <f>IF(ISBLANK(AR95),0,VLOOKUP(AR95,UNITGRADES,2,FALSE))</f>
        <v>70</v>
      </c>
      <c r="AT95" s="13">
        <f t="shared" si="1"/>
        <v>5</v>
      </c>
      <c r="AU95" s="13">
        <f t="shared" si="2"/>
        <v>5</v>
      </c>
      <c r="AV95" s="13">
        <f t="shared" si="3"/>
        <v>8</v>
      </c>
      <c r="AW95" s="17">
        <f t="shared" si="4"/>
        <v>1390</v>
      </c>
      <c r="AX95" s="18" t="str">
        <f>VLOOKUP(AW95,FINALGRADES,3,TRUE)</f>
        <v>MMM</v>
      </c>
      <c r="AY95" s="10">
        <f>VLOOKUP(AW95,FINALGRADES,4,TRUE)</f>
        <v>240</v>
      </c>
      <c r="AZ95" s="11">
        <f>VLOOKUP(G95,TARGETPOINTS,2,FALSE)</f>
        <v>280</v>
      </c>
      <c r="BA95" s="11" t="str">
        <f t="shared" si="5"/>
        <v>Under</v>
      </c>
      <c r="BB95" s="10"/>
      <c r="BC95" s="11"/>
      <c r="BD95" s="11"/>
    </row>
    <row r="96" spans="1:56" ht="11.25" customHeight="1">
      <c r="A96" s="13">
        <v>3</v>
      </c>
      <c r="B96" s="13">
        <v>9964030</v>
      </c>
      <c r="C96" s="12" t="s">
        <v>209</v>
      </c>
      <c r="D96" s="12" t="s">
        <v>210</v>
      </c>
      <c r="E96" s="13" t="s">
        <v>24</v>
      </c>
      <c r="F96" s="14">
        <v>33133</v>
      </c>
      <c r="G96" s="13" t="s">
        <v>22</v>
      </c>
      <c r="H96" s="16" t="s">
        <v>25</v>
      </c>
      <c r="I96" s="15">
        <f>IF(ISBLANK(H96),0,VLOOKUP(H96,UNITGRADES,2,FALSE))</f>
        <v>90</v>
      </c>
      <c r="J96" s="16" t="s">
        <v>24</v>
      </c>
      <c r="K96" s="15">
        <f>IF(ISBLANK(J96),0,VLOOKUP(J96,UNITGRADES,2,FALSE))</f>
        <v>80</v>
      </c>
      <c r="L96" s="16" t="s">
        <v>23</v>
      </c>
      <c r="M96" s="15">
        <f>IF(ISBLANK(L96),0,VLOOKUP(L96,UNITGRADES,2,FALSE))</f>
        <v>70</v>
      </c>
      <c r="N96" s="16" t="s">
        <v>24</v>
      </c>
      <c r="O96" s="15">
        <f>IF(ISBLANK(N96),0,VLOOKUP(N96,UNITGRADES,2,FALSE))</f>
        <v>80</v>
      </c>
      <c r="P96" s="16" t="s">
        <v>24</v>
      </c>
      <c r="Q96" s="15">
        <f>IF(ISBLANK(P96),0,VLOOKUP(P96,UNITGRADES,2,FALSE))</f>
        <v>80</v>
      </c>
      <c r="R96" s="16" t="s">
        <v>25</v>
      </c>
      <c r="S96" s="15">
        <f>IF(ISBLANK(R96),0,VLOOKUP(R96,UNITGRADES,2,FALSE))</f>
        <v>90</v>
      </c>
      <c r="T96" s="16" t="s">
        <v>24</v>
      </c>
      <c r="U96" s="15">
        <f>IF(ISBLANK(T96),0,VLOOKUP(T96,UNITGRADES,2,FALSE))</f>
        <v>80</v>
      </c>
      <c r="V96" s="16" t="s">
        <v>25</v>
      </c>
      <c r="W96" s="15">
        <f>IF(ISBLANK(H96),0,VLOOKUP(H96,UNITGRADES,2,FALSE))</f>
        <v>90</v>
      </c>
      <c r="X96" s="16" t="s">
        <v>23</v>
      </c>
      <c r="Y96" s="15">
        <f>IF(ISBLANK(X96),0,VLOOKUP(X96,UNITGRADES,2,FALSE))</f>
        <v>70</v>
      </c>
      <c r="Z96" s="15">
        <f t="shared" si="0"/>
        <v>730</v>
      </c>
      <c r="AA96" s="15" t="str">
        <f>VLOOKUP(Z96*2,FINALGRADES,3,TRUE)</f>
        <v>DDM</v>
      </c>
      <c r="AB96" s="16" t="s">
        <v>23</v>
      </c>
      <c r="AC96" s="15">
        <f>IF(ISBLANK(AB96),0,VLOOKUP(AB96,UNITGRADES,2,FALSE))</f>
        <v>70</v>
      </c>
      <c r="AD96" s="16" t="s">
        <v>24</v>
      </c>
      <c r="AE96" s="15">
        <f>IF(ISBLANK(AD96),0,VLOOKUP(AD96,UNITGRADES,2,FALSE))</f>
        <v>80</v>
      </c>
      <c r="AF96" s="16" t="s">
        <v>24</v>
      </c>
      <c r="AG96" s="15">
        <f>IF(ISBLANK(AF96),0,VLOOKUP(AF96,UNITGRADES,2,FALSE))</f>
        <v>80</v>
      </c>
      <c r="AH96" s="16" t="s">
        <v>24</v>
      </c>
      <c r="AI96" s="15">
        <f>IF(ISBLANK(AH96),0,VLOOKUP(AH96,UNITGRADES,2,FALSE))</f>
        <v>80</v>
      </c>
      <c r="AJ96" s="16" t="s">
        <v>24</v>
      </c>
      <c r="AK96" s="15">
        <f>IF(ISBLANK(AJ96),0,VLOOKUP(AJ96,UNITGRADES,2,FALSE))</f>
        <v>80</v>
      </c>
      <c r="AL96" s="16" t="s">
        <v>25</v>
      </c>
      <c r="AM96" s="15">
        <f>IF(ISBLANK(AL96),0,VLOOKUP(AL96,UNITGRADES,2,FALSE))</f>
        <v>90</v>
      </c>
      <c r="AN96" s="16" t="s">
        <v>25</v>
      </c>
      <c r="AO96" s="15">
        <f>IF(ISBLANK(AN96),0,VLOOKUP(AN96,UNITGRADES,2,FALSE))</f>
        <v>90</v>
      </c>
      <c r="AP96" s="16" t="s">
        <v>25</v>
      </c>
      <c r="AQ96" s="15">
        <f>IF(ISBLANK(AP96),0,VLOOKUP(AP96,UNITGRADES,2,FALSE))</f>
        <v>90</v>
      </c>
      <c r="AR96" s="16" t="s">
        <v>25</v>
      </c>
      <c r="AS96" s="11">
        <f>IF(ISBLANK(AR96),0,VLOOKUP(AR96,UNITGRADES,2,FALSE))</f>
        <v>90</v>
      </c>
      <c r="AT96" s="13">
        <f t="shared" si="1"/>
        <v>3</v>
      </c>
      <c r="AU96" s="13">
        <f t="shared" si="2"/>
        <v>8</v>
      </c>
      <c r="AV96" s="13">
        <f t="shared" si="3"/>
        <v>7</v>
      </c>
      <c r="AW96" s="17">
        <f t="shared" si="4"/>
        <v>1390</v>
      </c>
      <c r="AX96" s="18" t="str">
        <f>VLOOKUP(AW96,FINALGRADES,3,TRUE)</f>
        <v>MMM</v>
      </c>
      <c r="AY96" s="10">
        <f>VLOOKUP(AW96,FINALGRADES,4,TRUE)</f>
        <v>240</v>
      </c>
      <c r="AZ96" s="11">
        <f>VLOOKUP(G96,TARGETPOINTS,2,FALSE)</f>
        <v>160</v>
      </c>
      <c r="BA96" s="11" t="str">
        <f t="shared" si="5"/>
        <v>Over</v>
      </c>
      <c r="BB96" s="10"/>
      <c r="BC96" s="11"/>
      <c r="BD96" s="11"/>
    </row>
    <row r="97" spans="1:56" ht="11.25" customHeight="1">
      <c r="A97" s="13">
        <v>4</v>
      </c>
      <c r="B97" s="13">
        <v>9641281</v>
      </c>
      <c r="C97" s="12" t="s">
        <v>211</v>
      </c>
      <c r="D97" s="12" t="s">
        <v>212</v>
      </c>
      <c r="E97" s="13" t="s">
        <v>24</v>
      </c>
      <c r="F97" s="14">
        <v>33250</v>
      </c>
      <c r="G97" s="13" t="s">
        <v>50</v>
      </c>
      <c r="H97" s="16" t="s">
        <v>24</v>
      </c>
      <c r="I97" s="15">
        <f>IF(ISBLANK(H97),0,VLOOKUP(H97,UNITGRADES,2,FALSE))</f>
        <v>80</v>
      </c>
      <c r="J97" s="16" t="s">
        <v>25</v>
      </c>
      <c r="K97" s="15">
        <f>IF(ISBLANK(J97),0,VLOOKUP(J97,UNITGRADES,2,FALSE))</f>
        <v>90</v>
      </c>
      <c r="L97" s="16" t="s">
        <v>24</v>
      </c>
      <c r="M97" s="15">
        <f>IF(ISBLANK(L97),0,VLOOKUP(L97,UNITGRADES,2,FALSE))</f>
        <v>80</v>
      </c>
      <c r="N97" s="16" t="s">
        <v>24</v>
      </c>
      <c r="O97" s="15">
        <f>IF(ISBLANK(N97),0,VLOOKUP(N97,UNITGRADES,2,FALSE))</f>
        <v>80</v>
      </c>
      <c r="P97" s="16" t="s">
        <v>24</v>
      </c>
      <c r="Q97" s="15">
        <f>IF(ISBLANK(P97),0,VLOOKUP(P97,UNITGRADES,2,FALSE))</f>
        <v>80</v>
      </c>
      <c r="R97" s="16" t="s">
        <v>23</v>
      </c>
      <c r="S97" s="15">
        <f>IF(ISBLANK(R97),0,VLOOKUP(R97,UNITGRADES,2,FALSE))</f>
        <v>70</v>
      </c>
      <c r="T97" s="16" t="s">
        <v>25</v>
      </c>
      <c r="U97" s="15">
        <f>IF(ISBLANK(T97),0,VLOOKUP(T97,UNITGRADES,2,FALSE))</f>
        <v>90</v>
      </c>
      <c r="V97" s="16" t="s">
        <v>24</v>
      </c>
      <c r="W97" s="15">
        <f>IF(ISBLANK(H97),0,VLOOKUP(H97,UNITGRADES,2,FALSE))</f>
        <v>80</v>
      </c>
      <c r="X97" s="16" t="s">
        <v>25</v>
      </c>
      <c r="Y97" s="15">
        <f>IF(ISBLANK(X97),0,VLOOKUP(X97,UNITGRADES,2,FALSE))</f>
        <v>90</v>
      </c>
      <c r="Z97" s="15">
        <f t="shared" si="0"/>
        <v>740</v>
      </c>
      <c r="AA97" s="15" t="str">
        <f>VLOOKUP(Z97*2,FINALGRADES,3,TRUE)</f>
        <v>DDM</v>
      </c>
      <c r="AB97" s="16" t="s">
        <v>24</v>
      </c>
      <c r="AC97" s="15">
        <f>IF(ISBLANK(AB97),0,VLOOKUP(AB97,UNITGRADES,2,FALSE))</f>
        <v>80</v>
      </c>
      <c r="AD97" s="16" t="s">
        <v>23</v>
      </c>
      <c r="AE97" s="15">
        <f>IF(ISBLANK(AD97),0,VLOOKUP(AD97,UNITGRADES,2,FALSE))</f>
        <v>70</v>
      </c>
      <c r="AF97" s="16" t="s">
        <v>23</v>
      </c>
      <c r="AG97" s="15">
        <f>IF(ISBLANK(AF97),0,VLOOKUP(AF97,UNITGRADES,2,FALSE))</f>
        <v>70</v>
      </c>
      <c r="AH97" s="16" t="s">
        <v>25</v>
      </c>
      <c r="AI97" s="15">
        <f>IF(ISBLANK(AH97),0,VLOOKUP(AH97,UNITGRADES,2,FALSE))</f>
        <v>90</v>
      </c>
      <c r="AJ97" s="16" t="s">
        <v>25</v>
      </c>
      <c r="AK97" s="15">
        <f>IF(ISBLANK(AJ97),0,VLOOKUP(AJ97,UNITGRADES,2,FALSE))</f>
        <v>90</v>
      </c>
      <c r="AL97" s="16" t="s">
        <v>25</v>
      </c>
      <c r="AM97" s="15">
        <f>IF(ISBLANK(AL97),0,VLOOKUP(AL97,UNITGRADES,2,FALSE))</f>
        <v>90</v>
      </c>
      <c r="AN97" s="16" t="s">
        <v>24</v>
      </c>
      <c r="AO97" s="15">
        <f>IF(ISBLANK(AN97),0,VLOOKUP(AN97,UNITGRADES,2,FALSE))</f>
        <v>80</v>
      </c>
      <c r="AP97" s="16" t="s">
        <v>24</v>
      </c>
      <c r="AQ97" s="15">
        <f>IF(ISBLANK(AP97),0,VLOOKUP(AP97,UNITGRADES,2,FALSE))</f>
        <v>80</v>
      </c>
      <c r="AR97" s="16" t="s">
        <v>23</v>
      </c>
      <c r="AS97" s="11">
        <f>IF(ISBLANK(AR97),0,VLOOKUP(AR97,UNITGRADES,2,FALSE))</f>
        <v>70</v>
      </c>
      <c r="AT97" s="13">
        <f t="shared" si="1"/>
        <v>4</v>
      </c>
      <c r="AU97" s="13">
        <f t="shared" si="2"/>
        <v>8</v>
      </c>
      <c r="AV97" s="13">
        <f t="shared" si="3"/>
        <v>6</v>
      </c>
      <c r="AW97" s="17">
        <f t="shared" si="4"/>
        <v>1390</v>
      </c>
      <c r="AX97" s="18" t="str">
        <f>VLOOKUP(AW97,FINALGRADES,3,TRUE)</f>
        <v>MMM</v>
      </c>
      <c r="AY97" s="10">
        <f>VLOOKUP(AW97,FINALGRADES,4,TRUE)</f>
        <v>240</v>
      </c>
      <c r="AZ97" s="11">
        <f>VLOOKUP(G97,TARGETPOINTS,2,FALSE)</f>
        <v>200</v>
      </c>
      <c r="BA97" s="11" t="str">
        <f t="shared" si="5"/>
        <v>Over</v>
      </c>
      <c r="BB97" s="10"/>
      <c r="BC97" s="11"/>
      <c r="BD97" s="11"/>
    </row>
    <row r="98" spans="1:56" ht="11.25" customHeight="1">
      <c r="A98" s="13">
        <v>4</v>
      </c>
      <c r="B98" s="13">
        <v>8522842</v>
      </c>
      <c r="C98" s="12" t="s">
        <v>213</v>
      </c>
      <c r="D98" s="12" t="s">
        <v>214</v>
      </c>
      <c r="E98" s="13" t="s">
        <v>24</v>
      </c>
      <c r="F98" s="14">
        <v>33384</v>
      </c>
      <c r="G98" s="13" t="s">
        <v>29</v>
      </c>
      <c r="H98" s="16" t="s">
        <v>24</v>
      </c>
      <c r="I98" s="15">
        <f>IF(ISBLANK(H98),0,VLOOKUP(H98,UNITGRADES,2,FALSE))</f>
        <v>80</v>
      </c>
      <c r="J98" s="16" t="s">
        <v>24</v>
      </c>
      <c r="K98" s="15">
        <f>IF(ISBLANK(J98),0,VLOOKUP(J98,UNITGRADES,2,FALSE))</f>
        <v>80</v>
      </c>
      <c r="L98" s="16" t="s">
        <v>23</v>
      </c>
      <c r="M98" s="15">
        <f>IF(ISBLANK(L98),0,VLOOKUP(L98,UNITGRADES,2,FALSE))</f>
        <v>70</v>
      </c>
      <c r="N98" s="16" t="s">
        <v>24</v>
      </c>
      <c r="O98" s="15">
        <f>IF(ISBLANK(N98),0,VLOOKUP(N98,UNITGRADES,2,FALSE))</f>
        <v>80</v>
      </c>
      <c r="P98" s="16" t="s">
        <v>25</v>
      </c>
      <c r="Q98" s="15">
        <f>IF(ISBLANK(P98),0,VLOOKUP(P98,UNITGRADES,2,FALSE))</f>
        <v>90</v>
      </c>
      <c r="R98" s="16" t="s">
        <v>25</v>
      </c>
      <c r="S98" s="15">
        <f>IF(ISBLANK(R98),0,VLOOKUP(R98,UNITGRADES,2,FALSE))</f>
        <v>90</v>
      </c>
      <c r="T98" s="16" t="s">
        <v>25</v>
      </c>
      <c r="U98" s="15">
        <f>IF(ISBLANK(T98),0,VLOOKUP(T98,UNITGRADES,2,FALSE))</f>
        <v>90</v>
      </c>
      <c r="V98" s="16" t="s">
        <v>25</v>
      </c>
      <c r="W98" s="15">
        <f>IF(ISBLANK(H98),0,VLOOKUP(H98,UNITGRADES,2,FALSE))</f>
        <v>80</v>
      </c>
      <c r="X98" s="16" t="s">
        <v>23</v>
      </c>
      <c r="Y98" s="15">
        <f>IF(ISBLANK(X98),0,VLOOKUP(X98,UNITGRADES,2,FALSE))</f>
        <v>70</v>
      </c>
      <c r="Z98" s="15">
        <f t="shared" si="0"/>
        <v>730</v>
      </c>
      <c r="AA98" s="15" t="str">
        <f>VLOOKUP(Z98*2,FINALGRADES,3,TRUE)</f>
        <v>DDM</v>
      </c>
      <c r="AB98" s="16" t="s">
        <v>23</v>
      </c>
      <c r="AC98" s="15">
        <f>IF(ISBLANK(AB98),0,VLOOKUP(AB98,UNITGRADES,2,FALSE))</f>
        <v>70</v>
      </c>
      <c r="AD98" s="16" t="s">
        <v>25</v>
      </c>
      <c r="AE98" s="15">
        <f>IF(ISBLANK(AD98),0,VLOOKUP(AD98,UNITGRADES,2,FALSE))</f>
        <v>90</v>
      </c>
      <c r="AF98" s="16" t="s">
        <v>25</v>
      </c>
      <c r="AG98" s="15">
        <f>IF(ISBLANK(AF98),0,VLOOKUP(AF98,UNITGRADES,2,FALSE))</f>
        <v>90</v>
      </c>
      <c r="AH98" s="16" t="s">
        <v>23</v>
      </c>
      <c r="AI98" s="15">
        <f>IF(ISBLANK(AH98),0,VLOOKUP(AH98,UNITGRADES,2,FALSE))</f>
        <v>70</v>
      </c>
      <c r="AJ98" s="16" t="s">
        <v>25</v>
      </c>
      <c r="AK98" s="15">
        <f>IF(ISBLANK(AJ98),0,VLOOKUP(AJ98,UNITGRADES,2,FALSE))</f>
        <v>90</v>
      </c>
      <c r="AL98" s="16" t="s">
        <v>25</v>
      </c>
      <c r="AM98" s="15">
        <f>IF(ISBLANK(AL98),0,VLOOKUP(AL98,UNITGRADES,2,FALSE))</f>
        <v>90</v>
      </c>
      <c r="AN98" s="16" t="s">
        <v>23</v>
      </c>
      <c r="AO98" s="15">
        <f>IF(ISBLANK(AN98),0,VLOOKUP(AN98,UNITGRADES,2,FALSE))</f>
        <v>70</v>
      </c>
      <c r="AP98" s="16" t="s">
        <v>25</v>
      </c>
      <c r="AQ98" s="15">
        <f>IF(ISBLANK(AP98),0,VLOOKUP(AP98,UNITGRADES,2,FALSE))</f>
        <v>90</v>
      </c>
      <c r="AR98" s="16" t="s">
        <v>25</v>
      </c>
      <c r="AS98" s="11">
        <f>IF(ISBLANK(AR98),0,VLOOKUP(AR98,UNITGRADES,2,FALSE))</f>
        <v>90</v>
      </c>
      <c r="AT98" s="13">
        <f t="shared" si="1"/>
        <v>5</v>
      </c>
      <c r="AU98" s="13">
        <f t="shared" si="2"/>
        <v>3</v>
      </c>
      <c r="AV98" s="13">
        <f t="shared" si="3"/>
        <v>10</v>
      </c>
      <c r="AW98" s="17">
        <f t="shared" si="4"/>
        <v>1390</v>
      </c>
      <c r="AX98" s="18" t="str">
        <f>VLOOKUP(AW98,FINALGRADES,3,TRUE)</f>
        <v>MMM</v>
      </c>
      <c r="AY98" s="10">
        <f>VLOOKUP(AW98,FINALGRADES,4,TRUE)</f>
        <v>240</v>
      </c>
      <c r="AZ98" s="11">
        <f>VLOOKUP(G98,TARGETPOINTS,2,FALSE)</f>
        <v>360</v>
      </c>
      <c r="BA98" s="11" t="str">
        <f t="shared" si="5"/>
        <v>Under</v>
      </c>
      <c r="BB98" s="10"/>
      <c r="BC98" s="11"/>
      <c r="BD98" s="11"/>
    </row>
    <row r="99" spans="1:56" ht="11.25" customHeight="1">
      <c r="A99" s="13">
        <v>3</v>
      </c>
      <c r="B99" s="13">
        <v>8213284</v>
      </c>
      <c r="C99" s="12" t="s">
        <v>215</v>
      </c>
      <c r="D99" s="12" t="s">
        <v>216</v>
      </c>
      <c r="E99" s="13" t="s">
        <v>24</v>
      </c>
      <c r="F99" s="14">
        <v>33331</v>
      </c>
      <c r="G99" s="13" t="s">
        <v>65</v>
      </c>
      <c r="H99" s="16" t="s">
        <v>24</v>
      </c>
      <c r="I99" s="15">
        <f>IF(ISBLANK(H99),0,VLOOKUP(H99,UNITGRADES,2,FALSE))</f>
        <v>80</v>
      </c>
      <c r="J99" s="16" t="s">
        <v>24</v>
      </c>
      <c r="K99" s="15">
        <f>IF(ISBLANK(J99),0,VLOOKUP(J99,UNITGRADES,2,FALSE))</f>
        <v>80</v>
      </c>
      <c r="L99" s="16" t="s">
        <v>24</v>
      </c>
      <c r="M99" s="15">
        <f>IF(ISBLANK(L99),0,VLOOKUP(L99,UNITGRADES,2,FALSE))</f>
        <v>80</v>
      </c>
      <c r="N99" s="16" t="s">
        <v>25</v>
      </c>
      <c r="O99" s="15">
        <f>IF(ISBLANK(N99),0,VLOOKUP(N99,UNITGRADES,2,FALSE))</f>
        <v>90</v>
      </c>
      <c r="P99" s="16" t="s">
        <v>23</v>
      </c>
      <c r="Q99" s="15">
        <f>IF(ISBLANK(P99),0,VLOOKUP(P99,UNITGRADES,2,FALSE))</f>
        <v>70</v>
      </c>
      <c r="R99" s="16" t="s">
        <v>24</v>
      </c>
      <c r="S99" s="15">
        <f>IF(ISBLANK(R99),0,VLOOKUP(R99,UNITGRADES,2,FALSE))</f>
        <v>80</v>
      </c>
      <c r="T99" s="16" t="s">
        <v>24</v>
      </c>
      <c r="U99" s="15">
        <f>IF(ISBLANK(T99),0,VLOOKUP(T99,UNITGRADES,2,FALSE))</f>
        <v>80</v>
      </c>
      <c r="V99" s="16" t="s">
        <v>23</v>
      </c>
      <c r="W99" s="15">
        <f>IF(ISBLANK(H99),0,VLOOKUP(H99,UNITGRADES,2,FALSE))</f>
        <v>80</v>
      </c>
      <c r="X99" s="16" t="s">
        <v>25</v>
      </c>
      <c r="Y99" s="15">
        <f>IF(ISBLANK(X99),0,VLOOKUP(X99,UNITGRADES,2,FALSE))</f>
        <v>90</v>
      </c>
      <c r="Z99" s="15">
        <f t="shared" si="0"/>
        <v>730</v>
      </c>
      <c r="AA99" s="15" t="str">
        <f>VLOOKUP(Z99*2,FINALGRADES,3,TRUE)</f>
        <v>DDM</v>
      </c>
      <c r="AB99" s="16" t="s">
        <v>25</v>
      </c>
      <c r="AC99" s="15">
        <f>IF(ISBLANK(AB99),0,VLOOKUP(AB99,UNITGRADES,2,FALSE))</f>
        <v>90</v>
      </c>
      <c r="AD99" s="16" t="s">
        <v>23</v>
      </c>
      <c r="AE99" s="15">
        <f>IF(ISBLANK(AD99),0,VLOOKUP(AD99,UNITGRADES,2,FALSE))</f>
        <v>70</v>
      </c>
      <c r="AF99" s="16" t="s">
        <v>25</v>
      </c>
      <c r="AG99" s="15">
        <f>IF(ISBLANK(AF99),0,VLOOKUP(AF99,UNITGRADES,2,FALSE))</f>
        <v>90</v>
      </c>
      <c r="AH99" s="16" t="s">
        <v>24</v>
      </c>
      <c r="AI99" s="15">
        <f>IF(ISBLANK(AH99),0,VLOOKUP(AH99,UNITGRADES,2,FALSE))</f>
        <v>80</v>
      </c>
      <c r="AJ99" s="16" t="s">
        <v>25</v>
      </c>
      <c r="AK99" s="15">
        <f>IF(ISBLANK(AJ99),0,VLOOKUP(AJ99,UNITGRADES,2,FALSE))</f>
        <v>90</v>
      </c>
      <c r="AL99" s="16" t="s">
        <v>25</v>
      </c>
      <c r="AM99" s="15">
        <f>IF(ISBLANK(AL99),0,VLOOKUP(AL99,UNITGRADES,2,FALSE))</f>
        <v>90</v>
      </c>
      <c r="AN99" s="16" t="s">
        <v>23</v>
      </c>
      <c r="AO99" s="15">
        <f>IF(ISBLANK(AN99),0,VLOOKUP(AN99,UNITGRADES,2,FALSE))</f>
        <v>70</v>
      </c>
      <c r="AP99" s="16" t="s">
        <v>25</v>
      </c>
      <c r="AQ99" s="15">
        <f>IF(ISBLANK(AP99),0,VLOOKUP(AP99,UNITGRADES,2,FALSE))</f>
        <v>90</v>
      </c>
      <c r="AR99" s="16" t="s">
        <v>24</v>
      </c>
      <c r="AS99" s="11">
        <f>IF(ISBLANK(AR99),0,VLOOKUP(AR99,UNITGRADES,2,FALSE))</f>
        <v>80</v>
      </c>
      <c r="AT99" s="13">
        <f t="shared" si="1"/>
        <v>4</v>
      </c>
      <c r="AU99" s="13">
        <f t="shared" si="2"/>
        <v>7</v>
      </c>
      <c r="AV99" s="13">
        <f t="shared" si="3"/>
        <v>7</v>
      </c>
      <c r="AW99" s="17">
        <f t="shared" si="4"/>
        <v>1400</v>
      </c>
      <c r="AX99" s="18" t="str">
        <f>VLOOKUP(AW99,FINALGRADES,3,TRUE)</f>
        <v>MMM</v>
      </c>
      <c r="AY99" s="10">
        <f>VLOOKUP(AW99,FINALGRADES,4,TRUE)</f>
        <v>240</v>
      </c>
      <c r="AZ99" s="11">
        <f>VLOOKUP(G99,TARGETPOINTS,2,FALSE)</f>
        <v>280</v>
      </c>
      <c r="BA99" s="11" t="str">
        <f t="shared" si="5"/>
        <v>Under</v>
      </c>
      <c r="BB99" s="10"/>
      <c r="BC99" s="11"/>
      <c r="BD99" s="11"/>
    </row>
    <row r="100" spans="1:56" ht="11.25" customHeight="1">
      <c r="A100" s="13">
        <v>1</v>
      </c>
      <c r="B100" s="13">
        <v>8416014</v>
      </c>
      <c r="C100" s="12" t="s">
        <v>217</v>
      </c>
      <c r="D100" s="12" t="s">
        <v>218</v>
      </c>
      <c r="E100" s="13" t="s">
        <v>24</v>
      </c>
      <c r="F100" s="14">
        <v>33162</v>
      </c>
      <c r="G100" s="13" t="s">
        <v>22</v>
      </c>
      <c r="H100" s="16" t="s">
        <v>25</v>
      </c>
      <c r="I100" s="15">
        <f>IF(ISBLANK(H100),0,VLOOKUP(H100,UNITGRADES,2,FALSE))</f>
        <v>90</v>
      </c>
      <c r="J100" s="16" t="s">
        <v>25</v>
      </c>
      <c r="K100" s="15">
        <f>IF(ISBLANK(J100),0,VLOOKUP(J100,UNITGRADES,2,FALSE))</f>
        <v>90</v>
      </c>
      <c r="L100" s="16" t="s">
        <v>25</v>
      </c>
      <c r="M100" s="15">
        <f>IF(ISBLANK(L100),0,VLOOKUP(L100,UNITGRADES,2,FALSE))</f>
        <v>90</v>
      </c>
      <c r="N100" s="16" t="s">
        <v>24</v>
      </c>
      <c r="O100" s="15">
        <f>IF(ISBLANK(N100),0,VLOOKUP(N100,UNITGRADES,2,FALSE))</f>
        <v>80</v>
      </c>
      <c r="P100" s="16" t="s">
        <v>23</v>
      </c>
      <c r="Q100" s="15">
        <f>IF(ISBLANK(P100),0,VLOOKUP(P100,UNITGRADES,2,FALSE))</f>
        <v>70</v>
      </c>
      <c r="R100" s="16" t="s">
        <v>25</v>
      </c>
      <c r="S100" s="15">
        <f>IF(ISBLANK(R100),0,VLOOKUP(R100,UNITGRADES,2,FALSE))</f>
        <v>90</v>
      </c>
      <c r="T100" s="16" t="s">
        <v>23</v>
      </c>
      <c r="U100" s="15">
        <f>IF(ISBLANK(T100),0,VLOOKUP(T100,UNITGRADES,2,FALSE))</f>
        <v>70</v>
      </c>
      <c r="V100" s="16" t="s">
        <v>24</v>
      </c>
      <c r="W100" s="15">
        <f>IF(ISBLANK(H100),0,VLOOKUP(H100,UNITGRADES,2,FALSE))</f>
        <v>90</v>
      </c>
      <c r="X100" s="16" t="s">
        <v>24</v>
      </c>
      <c r="Y100" s="15">
        <f>IF(ISBLANK(X100),0,VLOOKUP(X100,UNITGRADES,2,FALSE))</f>
        <v>80</v>
      </c>
      <c r="Z100" s="15">
        <f t="shared" si="0"/>
        <v>750</v>
      </c>
      <c r="AA100" s="15" t="str">
        <f>VLOOKUP(Z100*2,FINALGRADES,3,TRUE)</f>
        <v>DDD</v>
      </c>
      <c r="AB100" s="16" t="s">
        <v>24</v>
      </c>
      <c r="AC100" s="15">
        <f>IF(ISBLANK(AB100),0,VLOOKUP(AB100,UNITGRADES,2,FALSE))</f>
        <v>80</v>
      </c>
      <c r="AD100" s="16" t="s">
        <v>24</v>
      </c>
      <c r="AE100" s="15">
        <f>IF(ISBLANK(AD100),0,VLOOKUP(AD100,UNITGRADES,2,FALSE))</f>
        <v>80</v>
      </c>
      <c r="AF100" s="16" t="s">
        <v>25</v>
      </c>
      <c r="AG100" s="15">
        <f>IF(ISBLANK(AF100),0,VLOOKUP(AF100,UNITGRADES,2,FALSE))</f>
        <v>90</v>
      </c>
      <c r="AH100" s="16" t="s">
        <v>25</v>
      </c>
      <c r="AI100" s="15">
        <f>IF(ISBLANK(AH100),0,VLOOKUP(AH100,UNITGRADES,2,FALSE))</f>
        <v>90</v>
      </c>
      <c r="AJ100" s="16" t="s">
        <v>23</v>
      </c>
      <c r="AK100" s="15">
        <f>IF(ISBLANK(AJ100),0,VLOOKUP(AJ100,UNITGRADES,2,FALSE))</f>
        <v>70</v>
      </c>
      <c r="AL100" s="16" t="s">
        <v>25</v>
      </c>
      <c r="AM100" s="15">
        <f>IF(ISBLANK(AL100),0,VLOOKUP(AL100,UNITGRADES,2,FALSE))</f>
        <v>90</v>
      </c>
      <c r="AN100" s="16" t="s">
        <v>25</v>
      </c>
      <c r="AO100" s="15">
        <f>IF(ISBLANK(AN100),0,VLOOKUP(AN100,UNITGRADES,2,FALSE))</f>
        <v>90</v>
      </c>
      <c r="AP100" s="16" t="s">
        <v>23</v>
      </c>
      <c r="AQ100" s="15">
        <f>IF(ISBLANK(AP100),0,VLOOKUP(AP100,UNITGRADES,2,FALSE))</f>
        <v>70</v>
      </c>
      <c r="AR100" s="16" t="s">
        <v>23</v>
      </c>
      <c r="AS100" s="11">
        <f>IF(ISBLANK(AR100),0,VLOOKUP(AR100,UNITGRADES,2,FALSE))</f>
        <v>70</v>
      </c>
      <c r="AT100" s="13">
        <f t="shared" si="1"/>
        <v>5</v>
      </c>
      <c r="AU100" s="13">
        <f t="shared" si="2"/>
        <v>5</v>
      </c>
      <c r="AV100" s="13">
        <f t="shared" si="3"/>
        <v>8</v>
      </c>
      <c r="AW100" s="17">
        <f t="shared" si="4"/>
        <v>1410</v>
      </c>
      <c r="AX100" s="18" t="str">
        <f>VLOOKUP(AW100,FINALGRADES,3,TRUE)</f>
        <v>MMM</v>
      </c>
      <c r="AY100" s="10">
        <f>VLOOKUP(AW100,FINALGRADES,4,TRUE)</f>
        <v>240</v>
      </c>
      <c r="AZ100" s="11">
        <f>VLOOKUP(G100,TARGETPOINTS,2,FALSE)</f>
        <v>160</v>
      </c>
      <c r="BA100" s="11" t="str">
        <f t="shared" si="5"/>
        <v>Over</v>
      </c>
      <c r="BB100" s="10"/>
      <c r="BC100" s="11"/>
      <c r="BD100" s="11"/>
    </row>
    <row r="101" spans="1:56" ht="11.25" customHeight="1">
      <c r="A101" s="13">
        <v>2</v>
      </c>
      <c r="B101" s="13">
        <v>7145932</v>
      </c>
      <c r="C101" s="12" t="s">
        <v>219</v>
      </c>
      <c r="D101" s="12" t="s">
        <v>220</v>
      </c>
      <c r="E101" s="13" t="s">
        <v>24</v>
      </c>
      <c r="F101" s="14">
        <v>32976</v>
      </c>
      <c r="G101" s="13" t="s">
        <v>32</v>
      </c>
      <c r="H101" s="16" t="s">
        <v>25</v>
      </c>
      <c r="I101" s="15">
        <f>IF(ISBLANK(H101),0,VLOOKUP(H101,UNITGRADES,2,FALSE))</f>
        <v>90</v>
      </c>
      <c r="J101" s="16" t="s">
        <v>24</v>
      </c>
      <c r="K101" s="15">
        <f>IF(ISBLANK(J101),0,VLOOKUP(J101,UNITGRADES,2,FALSE))</f>
        <v>80</v>
      </c>
      <c r="L101" s="16" t="s">
        <v>25</v>
      </c>
      <c r="M101" s="15">
        <f>IF(ISBLANK(L101),0,VLOOKUP(L101,UNITGRADES,2,FALSE))</f>
        <v>90</v>
      </c>
      <c r="N101" s="16" t="s">
        <v>25</v>
      </c>
      <c r="O101" s="15">
        <f>IF(ISBLANK(N101),0,VLOOKUP(N101,UNITGRADES,2,FALSE))</f>
        <v>90</v>
      </c>
      <c r="P101" s="16" t="s">
        <v>23</v>
      </c>
      <c r="Q101" s="15">
        <f>IF(ISBLANK(P101),0,VLOOKUP(P101,UNITGRADES,2,FALSE))</f>
        <v>70</v>
      </c>
      <c r="R101" s="16" t="s">
        <v>24</v>
      </c>
      <c r="S101" s="15">
        <f>IF(ISBLANK(R101),0,VLOOKUP(R101,UNITGRADES,2,FALSE))</f>
        <v>80</v>
      </c>
      <c r="T101" s="16" t="s">
        <v>24</v>
      </c>
      <c r="U101" s="15">
        <f>IF(ISBLANK(T101),0,VLOOKUP(T101,UNITGRADES,2,FALSE))</f>
        <v>80</v>
      </c>
      <c r="V101" s="16" t="s">
        <v>24</v>
      </c>
      <c r="W101" s="15">
        <f>IF(ISBLANK(H101),0,VLOOKUP(H101,UNITGRADES,2,FALSE))</f>
        <v>90</v>
      </c>
      <c r="X101" s="16" t="s">
        <v>23</v>
      </c>
      <c r="Y101" s="15">
        <f>IF(ISBLANK(X101),0,VLOOKUP(X101,UNITGRADES,2,FALSE))</f>
        <v>70</v>
      </c>
      <c r="Z101" s="15">
        <f t="shared" si="0"/>
        <v>740</v>
      </c>
      <c r="AA101" s="15" t="str">
        <f>VLOOKUP(Z101*2,FINALGRADES,3,TRUE)</f>
        <v>DDM</v>
      </c>
      <c r="AB101" s="16" t="s">
        <v>25</v>
      </c>
      <c r="AC101" s="15">
        <f>IF(ISBLANK(AB101),0,VLOOKUP(AB101,UNITGRADES,2,FALSE))</f>
        <v>90</v>
      </c>
      <c r="AD101" s="16" t="s">
        <v>23</v>
      </c>
      <c r="AE101" s="15">
        <f>IF(ISBLANK(AD101),0,VLOOKUP(AD101,UNITGRADES,2,FALSE))</f>
        <v>70</v>
      </c>
      <c r="AF101" s="16" t="s">
        <v>25</v>
      </c>
      <c r="AG101" s="15">
        <f>IF(ISBLANK(AF101),0,VLOOKUP(AF101,UNITGRADES,2,FALSE))</f>
        <v>90</v>
      </c>
      <c r="AH101" s="16" t="s">
        <v>24</v>
      </c>
      <c r="AI101" s="15">
        <f>IF(ISBLANK(AH101),0,VLOOKUP(AH101,UNITGRADES,2,FALSE))</f>
        <v>80</v>
      </c>
      <c r="AJ101" s="16" t="s">
        <v>23</v>
      </c>
      <c r="AK101" s="15">
        <f>IF(ISBLANK(AJ101),0,VLOOKUP(AJ101,UNITGRADES,2,FALSE))</f>
        <v>70</v>
      </c>
      <c r="AL101" s="16" t="s">
        <v>25</v>
      </c>
      <c r="AM101" s="15">
        <f>IF(ISBLANK(AL101),0,VLOOKUP(AL101,UNITGRADES,2,FALSE))</f>
        <v>90</v>
      </c>
      <c r="AN101" s="16" t="s">
        <v>25</v>
      </c>
      <c r="AO101" s="15">
        <f>IF(ISBLANK(AN101),0,VLOOKUP(AN101,UNITGRADES,2,FALSE))</f>
        <v>90</v>
      </c>
      <c r="AP101" s="16" t="s">
        <v>25</v>
      </c>
      <c r="AQ101" s="15">
        <f>IF(ISBLANK(AP101),0,VLOOKUP(AP101,UNITGRADES,2,FALSE))</f>
        <v>90</v>
      </c>
      <c r="AR101" s="16" t="s">
        <v>25</v>
      </c>
      <c r="AS101" s="11">
        <f>IF(ISBLANK(AR101),0,VLOOKUP(AR101,UNITGRADES,2,FALSE))</f>
        <v>90</v>
      </c>
      <c r="AT101" s="13">
        <f t="shared" si="1"/>
        <v>4</v>
      </c>
      <c r="AU101" s="13">
        <f t="shared" si="2"/>
        <v>5</v>
      </c>
      <c r="AV101" s="13">
        <f t="shared" si="3"/>
        <v>9</v>
      </c>
      <c r="AW101" s="17">
        <f t="shared" si="4"/>
        <v>1410</v>
      </c>
      <c r="AX101" s="18" t="str">
        <f>VLOOKUP(AW101,FINALGRADES,3,TRUE)</f>
        <v>MMM</v>
      </c>
      <c r="AY101" s="10">
        <f>VLOOKUP(AW101,FINALGRADES,4,TRUE)</f>
        <v>240</v>
      </c>
      <c r="AZ101" s="11">
        <f>VLOOKUP(G101,TARGETPOINTS,2,FALSE)</f>
        <v>240</v>
      </c>
      <c r="BA101" s="11" t="str">
        <f t="shared" si="5"/>
        <v>Same</v>
      </c>
      <c r="BB101" s="10"/>
      <c r="BC101" s="11"/>
      <c r="BD101" s="11"/>
    </row>
    <row r="102" spans="1:56" ht="11.25" customHeight="1">
      <c r="A102" s="13">
        <v>3</v>
      </c>
      <c r="B102" s="13">
        <v>6170383</v>
      </c>
      <c r="C102" s="12" t="s">
        <v>221</v>
      </c>
      <c r="D102" s="12" t="s">
        <v>222</v>
      </c>
      <c r="E102" s="13" t="s">
        <v>24</v>
      </c>
      <c r="F102" s="14">
        <v>33792</v>
      </c>
      <c r="G102" s="13" t="s">
        <v>70</v>
      </c>
      <c r="H102" s="16" t="s">
        <v>24</v>
      </c>
      <c r="I102" s="15">
        <f>IF(ISBLANK(H102),0,VLOOKUP(H102,UNITGRADES,2,FALSE))</f>
        <v>80</v>
      </c>
      <c r="J102" s="16" t="s">
        <v>25</v>
      </c>
      <c r="K102" s="15">
        <f>IF(ISBLANK(J102),0,VLOOKUP(J102,UNITGRADES,2,FALSE))</f>
        <v>90</v>
      </c>
      <c r="L102" s="16" t="s">
        <v>25</v>
      </c>
      <c r="M102" s="15">
        <f>IF(ISBLANK(L102),0,VLOOKUP(L102,UNITGRADES,2,FALSE))</f>
        <v>90</v>
      </c>
      <c r="N102" s="16" t="s">
        <v>25</v>
      </c>
      <c r="O102" s="15">
        <f>IF(ISBLANK(N102),0,VLOOKUP(N102,UNITGRADES,2,FALSE))</f>
        <v>90</v>
      </c>
      <c r="P102" s="16" t="s">
        <v>24</v>
      </c>
      <c r="Q102" s="15">
        <f>IF(ISBLANK(P102),0,VLOOKUP(P102,UNITGRADES,2,FALSE))</f>
        <v>80</v>
      </c>
      <c r="R102" s="16" t="s">
        <v>25</v>
      </c>
      <c r="S102" s="15">
        <f>IF(ISBLANK(R102),0,VLOOKUP(R102,UNITGRADES,2,FALSE))</f>
        <v>90</v>
      </c>
      <c r="T102" s="16" t="s">
        <v>25</v>
      </c>
      <c r="U102" s="15">
        <f>IF(ISBLANK(T102),0,VLOOKUP(T102,UNITGRADES,2,FALSE))</f>
        <v>90</v>
      </c>
      <c r="V102" s="16" t="s">
        <v>25</v>
      </c>
      <c r="W102" s="15">
        <f>IF(ISBLANK(H102),0,VLOOKUP(H102,UNITGRADES,2,FALSE))</f>
        <v>80</v>
      </c>
      <c r="X102" s="16" t="s">
        <v>23</v>
      </c>
      <c r="Y102" s="15">
        <f>IF(ISBLANK(X102),0,VLOOKUP(X102,UNITGRADES,2,FALSE))</f>
        <v>70</v>
      </c>
      <c r="Z102" s="15">
        <f t="shared" si="0"/>
        <v>760</v>
      </c>
      <c r="AA102" s="15" t="str">
        <f>VLOOKUP(Z102*2,FINALGRADES,3,TRUE)</f>
        <v>DDD</v>
      </c>
      <c r="AB102" s="16" t="s">
        <v>23</v>
      </c>
      <c r="AC102" s="15">
        <f>IF(ISBLANK(AB102),0,VLOOKUP(AB102,UNITGRADES,2,FALSE))</f>
        <v>70</v>
      </c>
      <c r="AD102" s="16" t="s">
        <v>24</v>
      </c>
      <c r="AE102" s="15">
        <f>IF(ISBLANK(AD102),0,VLOOKUP(AD102,UNITGRADES,2,FALSE))</f>
        <v>80</v>
      </c>
      <c r="AF102" s="16" t="s">
        <v>25</v>
      </c>
      <c r="AG102" s="15">
        <f>IF(ISBLANK(AF102),0,VLOOKUP(AF102,UNITGRADES,2,FALSE))</f>
        <v>90</v>
      </c>
      <c r="AH102" s="16" t="s">
        <v>23</v>
      </c>
      <c r="AI102" s="15">
        <f>IF(ISBLANK(AH102),0,VLOOKUP(AH102,UNITGRADES,2,FALSE))</f>
        <v>70</v>
      </c>
      <c r="AJ102" s="16" t="s">
        <v>24</v>
      </c>
      <c r="AK102" s="15">
        <f>IF(ISBLANK(AJ102),0,VLOOKUP(AJ102,UNITGRADES,2,FALSE))</f>
        <v>80</v>
      </c>
      <c r="AL102" s="16" t="s">
        <v>25</v>
      </c>
      <c r="AM102" s="15">
        <f>IF(ISBLANK(AL102),0,VLOOKUP(AL102,UNITGRADES,2,FALSE))</f>
        <v>90</v>
      </c>
      <c r="AN102" s="16" t="s">
        <v>24</v>
      </c>
      <c r="AO102" s="15">
        <f>IF(ISBLANK(AN102),0,VLOOKUP(AN102,UNITGRADES,2,FALSE))</f>
        <v>80</v>
      </c>
      <c r="AP102" s="16" t="s">
        <v>25</v>
      </c>
      <c r="AQ102" s="15">
        <f>IF(ISBLANK(AP102),0,VLOOKUP(AP102,UNITGRADES,2,FALSE))</f>
        <v>90</v>
      </c>
      <c r="AR102" s="16" t="s">
        <v>23</v>
      </c>
      <c r="AS102" s="11">
        <f>IF(ISBLANK(AR102),0,VLOOKUP(AR102,UNITGRADES,2,FALSE))</f>
        <v>70</v>
      </c>
      <c r="AT102" s="13">
        <f t="shared" si="1"/>
        <v>4</v>
      </c>
      <c r="AU102" s="13">
        <f t="shared" si="2"/>
        <v>5</v>
      </c>
      <c r="AV102" s="13">
        <f t="shared" si="3"/>
        <v>9</v>
      </c>
      <c r="AW102" s="17">
        <f t="shared" si="4"/>
        <v>1410</v>
      </c>
      <c r="AX102" s="18" t="str">
        <f>VLOOKUP(AW102,FINALGRADES,3,TRUE)</f>
        <v>MMM</v>
      </c>
      <c r="AY102" s="10">
        <f>VLOOKUP(AW102,FINALGRADES,4,TRUE)</f>
        <v>240</v>
      </c>
      <c r="AZ102" s="11">
        <f>VLOOKUP(G102,TARGETPOINTS,2,FALSE)</f>
        <v>320</v>
      </c>
      <c r="BA102" s="11" t="str">
        <f t="shared" si="5"/>
        <v>Under</v>
      </c>
      <c r="BB102" s="10"/>
      <c r="BC102" s="11"/>
      <c r="BD102" s="11"/>
    </row>
    <row r="103" spans="1:56" ht="11.25" customHeight="1">
      <c r="A103" s="13">
        <v>1</v>
      </c>
      <c r="B103" s="13">
        <v>7794718</v>
      </c>
      <c r="C103" s="12" t="s">
        <v>223</v>
      </c>
      <c r="D103" s="12" t="s">
        <v>224</v>
      </c>
      <c r="E103" s="13" t="s">
        <v>24</v>
      </c>
      <c r="F103" s="14">
        <v>33266</v>
      </c>
      <c r="G103" s="13" t="s">
        <v>32</v>
      </c>
      <c r="H103" s="16" t="s">
        <v>25</v>
      </c>
      <c r="I103" s="15">
        <f>IF(ISBLANK(H103),0,VLOOKUP(H103,UNITGRADES,2,FALSE))</f>
        <v>90</v>
      </c>
      <c r="J103" s="16" t="s">
        <v>25</v>
      </c>
      <c r="K103" s="15">
        <f>IF(ISBLANK(J103),0,VLOOKUP(J103,UNITGRADES,2,FALSE))</f>
        <v>90</v>
      </c>
      <c r="L103" s="16" t="s">
        <v>25</v>
      </c>
      <c r="M103" s="15">
        <f>IF(ISBLANK(L103),0,VLOOKUP(L103,UNITGRADES,2,FALSE))</f>
        <v>90</v>
      </c>
      <c r="N103" s="16" t="s">
        <v>24</v>
      </c>
      <c r="O103" s="15">
        <f>IF(ISBLANK(N103),0,VLOOKUP(N103,UNITGRADES,2,FALSE))</f>
        <v>80</v>
      </c>
      <c r="P103" s="16" t="s">
        <v>25</v>
      </c>
      <c r="Q103" s="15">
        <f>IF(ISBLANK(P103),0,VLOOKUP(P103,UNITGRADES,2,FALSE))</f>
        <v>90</v>
      </c>
      <c r="R103" s="16" t="s">
        <v>25</v>
      </c>
      <c r="S103" s="15">
        <f>IF(ISBLANK(R103),0,VLOOKUP(R103,UNITGRADES,2,FALSE))</f>
        <v>90</v>
      </c>
      <c r="T103" s="16" t="s">
        <v>25</v>
      </c>
      <c r="U103" s="15">
        <f>IF(ISBLANK(T103),0,VLOOKUP(T103,UNITGRADES,2,FALSE))</f>
        <v>90</v>
      </c>
      <c r="V103" s="16" t="s">
        <v>24</v>
      </c>
      <c r="W103" s="15">
        <f>IF(ISBLANK(H103),0,VLOOKUP(H103,UNITGRADES,2,FALSE))</f>
        <v>90</v>
      </c>
      <c r="X103" s="16" t="s">
        <v>25</v>
      </c>
      <c r="Y103" s="15">
        <f>IF(ISBLANK(X103),0,VLOOKUP(X103,UNITGRADES,2,FALSE))</f>
        <v>90</v>
      </c>
      <c r="Z103" s="15">
        <f t="shared" si="0"/>
        <v>800</v>
      </c>
      <c r="AA103" s="15" t="str">
        <f>VLOOKUP(Z103*2,FINALGRADES,3,TRUE)</f>
        <v>D*D*D*</v>
      </c>
      <c r="AB103" s="16" t="s">
        <v>24</v>
      </c>
      <c r="AC103" s="15">
        <f>IF(ISBLANK(AB103),0,VLOOKUP(AB103,UNITGRADES,2,FALSE))</f>
        <v>80</v>
      </c>
      <c r="AD103" s="16" t="s">
        <v>25</v>
      </c>
      <c r="AE103" s="15">
        <f>IF(ISBLANK(AD103),0,VLOOKUP(AD103,UNITGRADES,2,FALSE))</f>
        <v>90</v>
      </c>
      <c r="AF103" s="16" t="s">
        <v>25</v>
      </c>
      <c r="AG103" s="15">
        <f>IF(ISBLANK(AF103),0,VLOOKUP(AF103,UNITGRADES,2,FALSE))</f>
        <v>90</v>
      </c>
      <c r="AH103" s="16" t="s">
        <v>24</v>
      </c>
      <c r="AI103" s="15">
        <f>IF(ISBLANK(AH103),0,VLOOKUP(AH103,UNITGRADES,2,FALSE))</f>
        <v>80</v>
      </c>
      <c r="AJ103" s="16" t="s">
        <v>24</v>
      </c>
      <c r="AK103" s="15">
        <f>IF(ISBLANK(AJ103),0,VLOOKUP(AJ103,UNITGRADES,2,FALSE))</f>
        <v>80</v>
      </c>
      <c r="AL103" s="16" t="s">
        <v>24</v>
      </c>
      <c r="AM103" s="15">
        <f>IF(ISBLANK(AL103),0,VLOOKUP(AL103,UNITGRADES,2,FALSE))</f>
        <v>80</v>
      </c>
      <c r="AN103" s="16" t="s">
        <v>24</v>
      </c>
      <c r="AO103" s="15">
        <f>IF(ISBLANK(AN103),0,VLOOKUP(AN103,UNITGRADES,2,FALSE))</f>
        <v>80</v>
      </c>
      <c r="AP103" s="16" t="s">
        <v>24</v>
      </c>
      <c r="AQ103" s="15">
        <f>IF(ISBLANK(AP103),0,VLOOKUP(AP103,UNITGRADES,2,FALSE))</f>
        <v>80</v>
      </c>
      <c r="AR103" s="16" t="s">
        <v>24</v>
      </c>
      <c r="AS103" s="11">
        <f>IF(ISBLANK(AR103),0,VLOOKUP(AR103,UNITGRADES,2,FALSE))</f>
        <v>80</v>
      </c>
      <c r="AT103" s="13">
        <f t="shared" si="1"/>
        <v>0</v>
      </c>
      <c r="AU103" s="13">
        <f t="shared" si="2"/>
        <v>9</v>
      </c>
      <c r="AV103" s="13">
        <f t="shared" si="3"/>
        <v>9</v>
      </c>
      <c r="AW103" s="17">
        <f t="shared" si="4"/>
        <v>1460</v>
      </c>
      <c r="AX103" s="18" t="str">
        <f>VLOOKUP(AW103,FINALGRADES,3,TRUE)</f>
        <v>DDM</v>
      </c>
      <c r="AY103" s="10">
        <f>VLOOKUP(AW103,FINALGRADES,4,TRUE)</f>
        <v>320</v>
      </c>
      <c r="AZ103" s="11">
        <f>VLOOKUP(G103,TARGETPOINTS,2,FALSE)</f>
        <v>240</v>
      </c>
      <c r="BA103" s="11" t="str">
        <f t="shared" si="5"/>
        <v>Over</v>
      </c>
      <c r="BB103" s="10"/>
      <c r="BC103" s="11"/>
      <c r="BD103" s="11"/>
    </row>
  </sheetData>
  <conditionalFormatting sqref="H4:Z103 AB4:AR103">
    <cfRule type="containsText" dxfId="5" priority="1" stopIfTrue="1" operator="containsText" text="D">
      <formula>NOT(ISERROR(SEARCH(("D"),(H4))))</formula>
    </cfRule>
  </conditionalFormatting>
  <conditionalFormatting sqref="H4:Z103 AB4:AR103">
    <cfRule type="containsText" dxfId="4" priority="2" stopIfTrue="1" operator="containsText" text="M">
      <formula>NOT(ISERROR(SEARCH(("M"),(H4))))</formula>
    </cfRule>
  </conditionalFormatting>
  <conditionalFormatting sqref="H4:Z103 AB4:AR103">
    <cfRule type="containsText" dxfId="3" priority="3" stopIfTrue="1" operator="containsText" text="P">
      <formula>NOT(ISERROR(SEARCH(("P"),(H4))))</formula>
    </cfRule>
  </conditionalFormatting>
  <conditionalFormatting sqref="BA4:BA103">
    <cfRule type="containsText" dxfId="2" priority="4" stopIfTrue="1" operator="containsText" text="Over">
      <formula>NOT(ISERROR(SEARCH(("Over"),(BA4))))</formula>
    </cfRule>
  </conditionalFormatting>
  <conditionalFormatting sqref="BA1:BA1048576">
    <cfRule type="containsText" dxfId="1" priority="5" stopIfTrue="1" operator="containsText" text="Under">
      <formula>NOT(ISERROR(SEARCH(("Under"),(BA1))))</formula>
    </cfRule>
  </conditionalFormatting>
  <conditionalFormatting sqref="BA1:BA1048576">
    <cfRule type="containsText" dxfId="0" priority="6" stopIfTrue="1" operator="containsText" text="Same">
      <formula>NOT(ISERROR(SEARCH(("Same"),(BA1))))</formula>
    </cfRule>
  </conditionalFormatting>
  <dataValidations count="2">
    <dataValidation type="list" allowBlank="1" showInputMessage="1" showErrorMessage="1" prompt="Select grade  - Please select a grade " sqref="H4:H103 J4:J103 L4:L103 N4:N103 P4:P103 R4:R103 T4:T103 V4:V103 X4:X103 AB4:AB103 AD4:AD103 AF4:AF103 AH4:AH103 AJ4:AJ103 AL4:AL103 AN4:AN103 AP4:AP103 AR4:AR103" xr:uid="{00000000-0002-0000-0000-000000000000}">
      <formula1>"P,M,D"</formula1>
    </dataValidation>
    <dataValidation type="date" allowBlank="1" showInputMessage="1" showErrorMessage="1" prompt="Enter DOB - Please enter the DOB of the student " sqref="F4:F103" xr:uid="{00000000-0002-0000-0000-000001000000}">
      <formula1>32874</formula1>
      <formula2>35045</formula2>
    </dataValidation>
  </dataValidation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24"/>
  <sheetViews>
    <sheetView workbookViewId="0"/>
  </sheetViews>
  <sheetFormatPr defaultColWidth="15.140625" defaultRowHeight="15.75" customHeight="1"/>
  <cols>
    <col min="1" max="1" width="11.5703125" customWidth="1"/>
    <col min="2" max="2" width="55.28515625" customWidth="1"/>
    <col min="3" max="3" width="21.7109375" customWidth="1"/>
    <col min="4" max="5" width="7.5703125" customWidth="1"/>
    <col min="6" max="6" width="10.42578125" customWidth="1"/>
    <col min="7" max="7" width="10.5703125" customWidth="1"/>
    <col min="8" max="9" width="7.5703125" customWidth="1"/>
    <col min="10" max="10" width="8" customWidth="1"/>
    <col min="11" max="11" width="10" customWidth="1"/>
    <col min="12" max="12" width="8.42578125" customWidth="1"/>
    <col min="13" max="13" width="9.7109375" customWidth="1"/>
    <col min="14" max="14" width="8" customWidth="1"/>
  </cols>
  <sheetData>
    <row r="1" spans="1:14" ht="13.5" customHeight="1">
      <c r="A1" s="44"/>
      <c r="B1" s="44"/>
      <c r="C1" s="44"/>
      <c r="F1" s="44"/>
      <c r="G1" s="44"/>
      <c r="J1" s="44"/>
      <c r="K1" s="44"/>
      <c r="L1" s="44"/>
      <c r="M1" s="44"/>
      <c r="N1" s="44"/>
    </row>
    <row r="2" spans="1:14" ht="20.25" customHeight="1">
      <c r="A2" s="67" t="s">
        <v>225</v>
      </c>
      <c r="B2" s="68"/>
      <c r="C2" s="68"/>
      <c r="E2" s="69" t="s">
        <v>226</v>
      </c>
      <c r="F2" s="70"/>
      <c r="G2" s="44"/>
      <c r="H2" s="71" t="s">
        <v>227</v>
      </c>
      <c r="I2" s="72"/>
      <c r="J2" s="72"/>
      <c r="K2" s="73"/>
      <c r="L2" s="44"/>
      <c r="M2" s="44"/>
      <c r="N2" s="44"/>
    </row>
    <row r="3" spans="1:14" ht="24.75" customHeight="1">
      <c r="A3" s="74" t="s">
        <v>228</v>
      </c>
      <c r="B3" s="75" t="s">
        <v>229</v>
      </c>
      <c r="C3" s="76" t="s">
        <v>230</v>
      </c>
      <c r="E3" s="77" t="s">
        <v>231</v>
      </c>
      <c r="F3" s="78" t="s">
        <v>232</v>
      </c>
      <c r="G3" s="44"/>
      <c r="H3" s="79" t="s">
        <v>233</v>
      </c>
      <c r="I3" s="19" t="s">
        <v>234</v>
      </c>
      <c r="J3" s="20" t="s">
        <v>235</v>
      </c>
      <c r="K3" s="80" t="s">
        <v>236</v>
      </c>
      <c r="L3" s="44"/>
      <c r="M3" s="44"/>
      <c r="N3" s="44"/>
    </row>
    <row r="4" spans="1:14" ht="20.25" customHeight="1">
      <c r="A4" s="21">
        <v>1</v>
      </c>
      <c r="B4" s="24" t="s">
        <v>237</v>
      </c>
      <c r="C4" s="25" t="s">
        <v>238</v>
      </c>
      <c r="E4" s="22" t="s">
        <v>25</v>
      </c>
      <c r="F4" s="23">
        <v>90</v>
      </c>
      <c r="G4" s="44"/>
      <c r="H4" s="21">
        <v>1260</v>
      </c>
      <c r="I4" s="24">
        <v>1299</v>
      </c>
      <c r="J4" s="24" t="s">
        <v>37</v>
      </c>
      <c r="K4" s="25">
        <v>120</v>
      </c>
      <c r="L4" s="44"/>
      <c r="M4" s="44"/>
      <c r="N4" s="44"/>
    </row>
    <row r="5" spans="1:14" ht="20.25" customHeight="1">
      <c r="A5" s="32">
        <v>2</v>
      </c>
      <c r="B5" s="26" t="s">
        <v>239</v>
      </c>
      <c r="C5" s="27" t="s">
        <v>240</v>
      </c>
      <c r="E5" s="22" t="s">
        <v>24</v>
      </c>
      <c r="F5" s="23">
        <v>80</v>
      </c>
      <c r="G5" s="44"/>
      <c r="H5" s="32">
        <v>1300</v>
      </c>
      <c r="I5" s="26">
        <v>1339</v>
      </c>
      <c r="J5" s="26" t="s">
        <v>22</v>
      </c>
      <c r="K5" s="27">
        <v>160</v>
      </c>
      <c r="L5" s="44"/>
      <c r="M5" s="44"/>
      <c r="N5" s="44"/>
    </row>
    <row r="6" spans="1:14" ht="20.25" customHeight="1">
      <c r="A6" s="32">
        <v>6</v>
      </c>
      <c r="B6" s="26" t="s">
        <v>241</v>
      </c>
      <c r="C6" s="27" t="s">
        <v>242</v>
      </c>
      <c r="E6" s="22" t="s">
        <v>23</v>
      </c>
      <c r="F6" s="23">
        <v>70</v>
      </c>
      <c r="G6" s="44"/>
      <c r="H6" s="32">
        <v>1340</v>
      </c>
      <c r="I6" s="26">
        <v>1379</v>
      </c>
      <c r="J6" s="26" t="s">
        <v>50</v>
      </c>
      <c r="K6" s="27">
        <v>200</v>
      </c>
      <c r="L6" s="44"/>
      <c r="M6" s="44"/>
      <c r="N6" s="44"/>
    </row>
    <row r="7" spans="1:14" ht="21" customHeight="1">
      <c r="A7" s="32">
        <v>14</v>
      </c>
      <c r="B7" s="26" t="s">
        <v>243</v>
      </c>
      <c r="C7" s="27" t="s">
        <v>244</v>
      </c>
      <c r="E7" s="28" t="s">
        <v>245</v>
      </c>
      <c r="F7" s="29">
        <v>0</v>
      </c>
      <c r="G7" s="44"/>
      <c r="H7" s="32">
        <v>1380</v>
      </c>
      <c r="I7" s="26">
        <v>1419</v>
      </c>
      <c r="J7" s="26" t="s">
        <v>32</v>
      </c>
      <c r="K7" s="27">
        <v>240</v>
      </c>
      <c r="L7" s="44"/>
      <c r="M7" s="44"/>
      <c r="N7" s="44"/>
    </row>
    <row r="8" spans="1:14" ht="20.25" customHeight="1">
      <c r="A8" s="32">
        <v>18</v>
      </c>
      <c r="B8" s="26" t="s">
        <v>246</v>
      </c>
      <c r="C8" s="27" t="s">
        <v>247</v>
      </c>
      <c r="F8" s="44"/>
      <c r="G8" s="44"/>
      <c r="H8" s="32">
        <v>1420</v>
      </c>
      <c r="I8" s="26">
        <v>1459</v>
      </c>
      <c r="J8" s="26" t="s">
        <v>65</v>
      </c>
      <c r="K8" s="27">
        <v>280</v>
      </c>
      <c r="L8" s="44"/>
      <c r="M8" s="44"/>
      <c r="N8" s="44"/>
    </row>
    <row r="9" spans="1:14" ht="25.5" customHeight="1">
      <c r="A9" s="32">
        <v>21</v>
      </c>
      <c r="B9" s="26" t="s">
        <v>248</v>
      </c>
      <c r="C9" s="27" t="s">
        <v>249</v>
      </c>
      <c r="F9" s="44"/>
      <c r="G9" s="44"/>
      <c r="H9" s="32">
        <v>1460</v>
      </c>
      <c r="I9" s="26">
        <v>1499</v>
      </c>
      <c r="J9" s="26" t="s">
        <v>70</v>
      </c>
      <c r="K9" s="27">
        <v>320</v>
      </c>
      <c r="L9" s="44"/>
      <c r="M9" s="44"/>
      <c r="N9" s="44"/>
    </row>
    <row r="10" spans="1:14" ht="20.25" customHeight="1">
      <c r="A10" s="32">
        <v>22</v>
      </c>
      <c r="B10" s="26" t="s">
        <v>250</v>
      </c>
      <c r="C10" s="27" t="s">
        <v>251</v>
      </c>
      <c r="F10" s="44"/>
      <c r="G10" s="44"/>
      <c r="H10" s="32">
        <v>1500</v>
      </c>
      <c r="I10" s="26">
        <v>1529</v>
      </c>
      <c r="J10" s="26" t="s">
        <v>29</v>
      </c>
      <c r="K10" s="27">
        <v>360</v>
      </c>
      <c r="L10" s="44"/>
      <c r="M10" s="44"/>
      <c r="N10" s="44"/>
    </row>
    <row r="11" spans="1:14" ht="20.25" customHeight="1">
      <c r="A11" s="32">
        <v>29</v>
      </c>
      <c r="B11" s="26" t="s">
        <v>252</v>
      </c>
      <c r="C11" s="27" t="s">
        <v>253</v>
      </c>
      <c r="F11" s="44"/>
      <c r="G11" s="44"/>
      <c r="H11" s="32">
        <v>1530</v>
      </c>
      <c r="I11" s="26">
        <v>1559</v>
      </c>
      <c r="J11" s="26" t="s">
        <v>254</v>
      </c>
      <c r="K11" s="27">
        <v>380</v>
      </c>
      <c r="L11" s="44"/>
      <c r="M11" s="44"/>
      <c r="N11" s="44"/>
    </row>
    <row r="12" spans="1:14" ht="21" customHeight="1">
      <c r="A12" s="30">
        <v>40</v>
      </c>
      <c r="B12" s="31" t="s">
        <v>255</v>
      </c>
      <c r="C12" s="33" t="s">
        <v>256</v>
      </c>
      <c r="F12" s="44"/>
      <c r="G12" s="44"/>
      <c r="H12" s="32">
        <v>1560</v>
      </c>
      <c r="I12" s="26">
        <v>1589</v>
      </c>
      <c r="J12" s="26" t="s">
        <v>257</v>
      </c>
      <c r="K12" s="27">
        <v>400</v>
      </c>
      <c r="L12" s="44"/>
      <c r="M12" s="44"/>
      <c r="N12" s="44"/>
    </row>
    <row r="13" spans="1:14" ht="21" customHeight="1">
      <c r="A13" s="32"/>
      <c r="B13" s="26"/>
      <c r="C13" s="27"/>
      <c r="F13" s="44"/>
      <c r="G13" s="44"/>
      <c r="H13" s="30">
        <v>1590</v>
      </c>
      <c r="I13" s="31" t="s">
        <v>258</v>
      </c>
      <c r="J13" s="31" t="s">
        <v>259</v>
      </c>
      <c r="K13" s="33">
        <v>420</v>
      </c>
      <c r="L13" s="44"/>
      <c r="M13" s="44"/>
      <c r="N13" s="44"/>
    </row>
    <row r="14" spans="1:14" ht="20.25" customHeight="1">
      <c r="A14" s="81"/>
      <c r="B14" s="82" t="s">
        <v>260</v>
      </c>
      <c r="C14" s="83"/>
      <c r="F14" s="44"/>
      <c r="G14" s="44"/>
      <c r="J14" s="44"/>
      <c r="K14" s="44"/>
      <c r="L14" s="44"/>
      <c r="M14" s="44"/>
      <c r="N14" s="44"/>
    </row>
    <row r="15" spans="1:14" ht="21" customHeight="1">
      <c r="A15" s="84" t="s">
        <v>228</v>
      </c>
      <c r="B15" s="85" t="s">
        <v>261</v>
      </c>
      <c r="C15" s="86" t="s">
        <v>230</v>
      </c>
      <c r="F15" s="44"/>
      <c r="G15" s="44"/>
      <c r="J15" s="44"/>
      <c r="K15" s="44"/>
      <c r="L15" s="44"/>
      <c r="M15" s="44"/>
      <c r="N15" s="44"/>
    </row>
    <row r="16" spans="1:14" ht="20.25" customHeight="1">
      <c r="A16" s="32">
        <v>3</v>
      </c>
      <c r="B16" s="26" t="s">
        <v>262</v>
      </c>
      <c r="C16" s="27" t="s">
        <v>263</v>
      </c>
      <c r="F16" s="44"/>
      <c r="G16" s="44"/>
      <c r="J16" s="44"/>
      <c r="K16" s="44"/>
      <c r="L16" s="44"/>
      <c r="M16" s="44"/>
      <c r="N16" s="44"/>
    </row>
    <row r="17" spans="1:14" ht="20.25" customHeight="1">
      <c r="A17" s="32">
        <v>30</v>
      </c>
      <c r="B17" s="26" t="s">
        <v>264</v>
      </c>
      <c r="C17" s="27" t="s">
        <v>265</v>
      </c>
      <c r="F17" s="44"/>
      <c r="G17" s="44"/>
      <c r="J17" s="44"/>
      <c r="K17" s="44"/>
      <c r="L17" s="44"/>
      <c r="M17" s="44"/>
      <c r="N17" s="44"/>
    </row>
    <row r="18" spans="1:14" ht="20.25" customHeight="1">
      <c r="A18" s="32">
        <v>8</v>
      </c>
      <c r="B18" s="26" t="s">
        <v>266</v>
      </c>
      <c r="C18" s="27" t="s">
        <v>267</v>
      </c>
      <c r="F18" s="44"/>
      <c r="G18" s="44"/>
      <c r="J18" s="44"/>
      <c r="K18" s="44"/>
      <c r="L18" s="44"/>
      <c r="M18" s="44"/>
      <c r="N18" s="44"/>
    </row>
    <row r="19" spans="1:14" ht="20.25" customHeight="1">
      <c r="A19" s="32">
        <v>31</v>
      </c>
      <c r="B19" s="26" t="s">
        <v>268</v>
      </c>
      <c r="C19" s="27" t="s">
        <v>269</v>
      </c>
      <c r="F19" s="44"/>
      <c r="G19" s="44"/>
      <c r="J19" s="44"/>
      <c r="K19" s="44"/>
      <c r="L19" s="44"/>
      <c r="M19" s="44"/>
      <c r="N19" s="44"/>
    </row>
    <row r="20" spans="1:14" ht="20.25" customHeight="1">
      <c r="A20" s="32">
        <v>42</v>
      </c>
      <c r="B20" s="26" t="s">
        <v>270</v>
      </c>
      <c r="C20" s="27" t="s">
        <v>271</v>
      </c>
      <c r="F20" s="44"/>
      <c r="G20" s="44"/>
      <c r="J20" s="44"/>
      <c r="K20" s="44"/>
      <c r="L20" s="44"/>
      <c r="M20" s="44"/>
      <c r="N20" s="44"/>
    </row>
    <row r="21" spans="1:14" ht="20.25" customHeight="1">
      <c r="A21" s="32">
        <v>20</v>
      </c>
      <c r="B21" s="26" t="s">
        <v>272</v>
      </c>
      <c r="C21" s="27" t="s">
        <v>273</v>
      </c>
      <c r="F21" s="44"/>
      <c r="G21" s="44"/>
      <c r="J21" s="44"/>
      <c r="K21" s="44"/>
      <c r="L21" s="44"/>
      <c r="M21" s="44"/>
      <c r="N21" s="44"/>
    </row>
    <row r="22" spans="1:14" ht="20.25" customHeight="1">
      <c r="A22" s="32">
        <v>28</v>
      </c>
      <c r="B22" s="26" t="s">
        <v>274</v>
      </c>
      <c r="C22" s="27" t="s">
        <v>275</v>
      </c>
      <c r="F22" s="44"/>
      <c r="G22" s="44"/>
      <c r="J22" s="44"/>
      <c r="K22" s="44"/>
      <c r="L22" s="44"/>
      <c r="M22" s="44"/>
      <c r="N22" s="44"/>
    </row>
    <row r="23" spans="1:14" ht="20.25" customHeight="1">
      <c r="A23" s="32">
        <v>23</v>
      </c>
      <c r="B23" s="26" t="s">
        <v>276</v>
      </c>
      <c r="C23" s="27" t="s">
        <v>277</v>
      </c>
      <c r="F23" s="44"/>
      <c r="G23" s="44"/>
      <c r="J23" s="44"/>
      <c r="K23" s="44"/>
      <c r="L23" s="44"/>
      <c r="M23" s="44"/>
      <c r="N23" s="44"/>
    </row>
    <row r="24" spans="1:14" ht="21" customHeight="1">
      <c r="A24" s="30">
        <v>43</v>
      </c>
      <c r="B24" s="31" t="s">
        <v>278</v>
      </c>
      <c r="C24" s="33" t="s">
        <v>279</v>
      </c>
      <c r="F24" s="44"/>
      <c r="G24" s="44"/>
      <c r="J24" s="44"/>
      <c r="K24" s="44"/>
      <c r="L24" s="44"/>
      <c r="M24" s="44"/>
      <c r="N24" s="44"/>
    </row>
  </sheetData>
  <mergeCells count="2">
    <mergeCell ref="A2:C2"/>
    <mergeCell ref="E2:F2"/>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AB61"/>
  <sheetViews>
    <sheetView workbookViewId="0"/>
  </sheetViews>
  <sheetFormatPr defaultColWidth="15.140625" defaultRowHeight="15.75" customHeight="1"/>
  <cols>
    <col min="1" max="1" width="7.5703125" customWidth="1"/>
    <col min="2" max="2" width="10.28515625" customWidth="1"/>
    <col min="3" max="6" width="20" customWidth="1"/>
    <col min="7" max="7" width="21.42578125" customWidth="1"/>
    <col min="8" max="8" width="24.5703125" customWidth="1"/>
    <col min="9" max="11" width="8.5703125" customWidth="1"/>
    <col min="12" max="12" width="16" customWidth="1"/>
    <col min="13" max="16" width="8.7109375" customWidth="1"/>
    <col min="17" max="17" width="10.28515625" customWidth="1"/>
    <col min="18" max="19" width="8.5703125" customWidth="1"/>
    <col min="20" max="20" width="10.28515625" customWidth="1"/>
    <col min="21" max="27" width="4.42578125" customWidth="1"/>
    <col min="28" max="28" width="10.28515625" customWidth="1"/>
  </cols>
  <sheetData>
    <row r="1" spans="2:28" ht="12.75" customHeight="1">
      <c r="B1" s="44"/>
      <c r="C1" s="44"/>
      <c r="D1" s="44"/>
      <c r="E1" s="44"/>
      <c r="F1" s="44"/>
      <c r="G1" s="44"/>
      <c r="H1" s="44"/>
      <c r="I1" s="44"/>
      <c r="J1" s="44"/>
      <c r="K1" s="44"/>
      <c r="L1" s="44"/>
      <c r="M1" s="44"/>
      <c r="N1" s="44"/>
      <c r="O1" s="44"/>
      <c r="P1" s="44"/>
      <c r="Q1" s="44"/>
      <c r="R1" s="44"/>
      <c r="S1" s="44"/>
      <c r="T1" s="44"/>
      <c r="U1" s="44"/>
      <c r="V1" s="44"/>
      <c r="W1" s="44"/>
      <c r="X1" s="44"/>
      <c r="Y1" s="44"/>
      <c r="Z1" s="44"/>
      <c r="AA1" s="44"/>
      <c r="AB1" s="44"/>
    </row>
    <row r="2" spans="2:28" ht="13.5" customHeight="1">
      <c r="B2" s="44"/>
      <c r="C2" s="44"/>
      <c r="D2" s="44"/>
      <c r="E2" s="44"/>
      <c r="F2" s="44"/>
      <c r="G2" s="44"/>
      <c r="H2" s="44"/>
      <c r="I2" s="44"/>
      <c r="J2" s="44"/>
      <c r="K2" s="44"/>
      <c r="L2" s="44"/>
      <c r="M2" s="44"/>
      <c r="N2" s="44"/>
      <c r="O2" s="44"/>
      <c r="P2" s="44"/>
      <c r="Q2" s="44"/>
      <c r="R2" s="44"/>
      <c r="S2" s="44"/>
      <c r="T2" s="44"/>
      <c r="U2" s="44"/>
      <c r="V2" s="44"/>
      <c r="W2" s="44"/>
      <c r="X2" s="44"/>
      <c r="Y2" s="44"/>
      <c r="Z2" s="44"/>
      <c r="AA2" s="44"/>
      <c r="AB2" s="44"/>
    </row>
    <row r="3" spans="2:28" ht="13.5" customHeight="1">
      <c r="B3" s="46" t="s">
        <v>280</v>
      </c>
      <c r="C3" s="47" t="s">
        <v>281</v>
      </c>
      <c r="D3" s="34"/>
      <c r="E3" s="44"/>
      <c r="F3" s="44"/>
      <c r="G3" s="44"/>
      <c r="H3" s="44"/>
      <c r="I3" s="44"/>
      <c r="J3" s="44"/>
      <c r="K3" s="44"/>
      <c r="L3" s="44"/>
      <c r="M3" s="44"/>
      <c r="N3" s="44"/>
      <c r="O3" s="44"/>
      <c r="P3" s="44"/>
      <c r="Q3" s="46" t="s">
        <v>282</v>
      </c>
      <c r="R3" s="47" t="s">
        <v>283</v>
      </c>
      <c r="S3" s="34"/>
      <c r="T3" s="44"/>
      <c r="U3" s="44"/>
      <c r="V3" s="44"/>
      <c r="W3" s="44"/>
      <c r="X3" s="44"/>
      <c r="Y3" s="44"/>
      <c r="Z3" s="44"/>
      <c r="AA3" s="44"/>
      <c r="AB3" s="44"/>
    </row>
    <row r="4" spans="2:28" ht="13.5" customHeight="1">
      <c r="B4" s="87"/>
      <c r="C4" s="88"/>
      <c r="D4" s="34"/>
      <c r="E4" s="44"/>
      <c r="F4" s="44"/>
      <c r="G4" s="44"/>
      <c r="H4" s="44"/>
      <c r="I4" s="44"/>
      <c r="J4" s="44"/>
      <c r="K4" s="44"/>
      <c r="L4" s="44"/>
      <c r="M4" s="44"/>
      <c r="N4" s="44"/>
      <c r="O4" s="44"/>
      <c r="P4" s="44"/>
      <c r="Q4" s="87"/>
      <c r="R4" s="88"/>
      <c r="S4" s="34"/>
      <c r="T4" s="44"/>
      <c r="U4" s="44"/>
      <c r="V4" s="44"/>
      <c r="W4" s="44"/>
      <c r="X4" s="44"/>
      <c r="Y4" s="44"/>
      <c r="Z4" s="44"/>
      <c r="AA4" s="44"/>
      <c r="AB4" s="44"/>
    </row>
    <row r="5" spans="2:28" ht="16.5" customHeight="1">
      <c r="B5" s="35" t="s">
        <v>37</v>
      </c>
      <c r="C5" s="36">
        <f ca="1">COUNTIF('BTEC PROGRESS MONITORING'!$AX$4:'BTEC PROGRESS MONITORING'!$AX$103,"PPP")</f>
        <v>1</v>
      </c>
      <c r="D5" s="37"/>
      <c r="E5" s="44"/>
      <c r="F5" s="44"/>
      <c r="G5" s="44"/>
      <c r="H5" s="44"/>
      <c r="I5" s="44"/>
      <c r="J5" s="44"/>
      <c r="K5" s="44"/>
      <c r="L5" s="44"/>
      <c r="M5" s="44"/>
      <c r="N5" s="44"/>
      <c r="O5" s="44"/>
      <c r="P5" s="44"/>
      <c r="Q5" s="38" t="s">
        <v>284</v>
      </c>
      <c r="R5" s="36">
        <f ca="1">COUNTIF('BTEC PROGRESS MONITORING'!$BA$4:'BTEC PROGRESS MONITORING'!$BA$103,"OVER")</f>
        <v>31</v>
      </c>
      <c r="S5" s="37"/>
      <c r="T5" s="44"/>
      <c r="U5" s="44"/>
      <c r="V5" s="44"/>
      <c r="W5" s="44"/>
      <c r="X5" s="44"/>
      <c r="Y5" s="44"/>
      <c r="Z5" s="44"/>
      <c r="AA5" s="44"/>
      <c r="AB5" s="44"/>
    </row>
    <row r="6" spans="2:28">
      <c r="B6" s="35" t="s">
        <v>22</v>
      </c>
      <c r="C6" s="36">
        <f ca="1">COUNTIF('BTEC PROGRESS MONITORING'!$AX$4:'BTEC PROGRESS MONITORING'!$AX$103,"MPP")</f>
        <v>18</v>
      </c>
      <c r="D6" s="37"/>
      <c r="E6" s="44"/>
      <c r="F6" s="44"/>
      <c r="G6" s="44"/>
      <c r="H6" s="44"/>
      <c r="I6" s="44"/>
      <c r="J6" s="44"/>
      <c r="K6" s="44"/>
      <c r="L6" s="44"/>
      <c r="M6" s="44"/>
      <c r="N6" s="44"/>
      <c r="O6" s="44"/>
      <c r="P6" s="44"/>
      <c r="Q6" s="38" t="s">
        <v>285</v>
      </c>
      <c r="R6" s="36">
        <f ca="1">COUNTIF('BTEC PROGRESS MONITORING'!$BA$4:'BTEC PROGRESS MONITORING'!$BA$103,"UNDER")</f>
        <v>52</v>
      </c>
      <c r="S6" s="37"/>
      <c r="T6" s="44"/>
      <c r="U6" s="44"/>
      <c r="V6" s="44"/>
      <c r="W6" s="44"/>
      <c r="X6" s="44"/>
      <c r="Y6" s="44"/>
      <c r="Z6" s="44"/>
      <c r="AA6" s="44"/>
      <c r="AB6" s="44"/>
    </row>
    <row r="7" spans="2:28" ht="16.5" customHeight="1">
      <c r="B7" s="35" t="s">
        <v>50</v>
      </c>
      <c r="C7" s="36">
        <f ca="1">COUNTIF('BTEC PROGRESS MONITORING'!$AX$4:'BTEC PROGRESS MONITORING'!$AX$103,"MMP")</f>
        <v>47</v>
      </c>
      <c r="D7" s="37"/>
      <c r="E7" s="44"/>
      <c r="F7" s="44"/>
      <c r="G7" s="44"/>
      <c r="H7" s="44"/>
      <c r="I7" s="44"/>
      <c r="J7" s="44"/>
      <c r="K7" s="44"/>
      <c r="L7" s="44"/>
      <c r="M7" s="44"/>
      <c r="N7" s="44"/>
      <c r="O7" s="44"/>
      <c r="P7" s="44"/>
      <c r="Q7" s="39" t="s">
        <v>286</v>
      </c>
      <c r="R7" s="40">
        <f ca="1">COUNTIF('BTEC PROGRESS MONITORING'!$BA$4:'BTEC PROGRESS MONITORING'!$BA$103,"SAME")</f>
        <v>17</v>
      </c>
      <c r="S7" s="37"/>
      <c r="T7" s="44"/>
      <c r="U7" s="44"/>
      <c r="V7" s="44"/>
      <c r="W7" s="44"/>
      <c r="X7" s="44"/>
      <c r="Y7" s="44"/>
      <c r="Z7" s="44"/>
      <c r="AA7" s="44"/>
      <c r="AB7" s="44"/>
    </row>
    <row r="8" spans="2:28" ht="16.5" customHeight="1">
      <c r="B8" s="35" t="s">
        <v>32</v>
      </c>
      <c r="C8" s="36">
        <f ca="1">COUNTIF('BTEC PROGRESS MONITORING'!$AX$4:'BTEC PROGRESS MONITORING'!$AX$103,"MMM")</f>
        <v>28</v>
      </c>
      <c r="D8" s="37"/>
      <c r="E8" s="44"/>
      <c r="F8" s="44"/>
      <c r="G8" s="44"/>
      <c r="H8" s="44"/>
      <c r="I8" s="44"/>
      <c r="J8" s="44"/>
      <c r="K8" s="44"/>
      <c r="L8" s="44"/>
      <c r="M8" s="44"/>
      <c r="N8" s="44"/>
      <c r="O8" s="44"/>
      <c r="P8" s="44"/>
      <c r="Q8" s="44"/>
      <c r="R8" s="44"/>
      <c r="S8" s="44"/>
      <c r="T8" s="44"/>
      <c r="U8" s="44"/>
      <c r="V8" s="44"/>
      <c r="W8" s="44"/>
      <c r="X8" s="44"/>
      <c r="Y8" s="44"/>
      <c r="Z8" s="44"/>
      <c r="AA8" s="44"/>
      <c r="AB8" s="44"/>
    </row>
    <row r="9" spans="2:28">
      <c r="B9" s="35" t="s">
        <v>65</v>
      </c>
      <c r="C9" s="36">
        <f ca="1">COUNTIF('BTEC PROGRESS MONITORING'!$AX$4:'BTEC PROGRESS MONITORING'!$AX$103,"DMM")</f>
        <v>5</v>
      </c>
      <c r="D9" s="37"/>
      <c r="E9" s="44"/>
      <c r="F9" s="44"/>
      <c r="G9" s="44"/>
      <c r="H9" s="44"/>
      <c r="I9" s="44"/>
      <c r="J9" s="44"/>
      <c r="K9" s="44"/>
      <c r="L9" s="44"/>
      <c r="M9" s="44"/>
      <c r="N9" s="44"/>
      <c r="O9" s="44"/>
      <c r="P9" s="44"/>
      <c r="Q9" s="44"/>
      <c r="R9" s="44"/>
      <c r="S9" s="44"/>
      <c r="T9" s="44"/>
      <c r="U9" s="44"/>
      <c r="V9" s="44"/>
      <c r="W9" s="44"/>
      <c r="X9" s="44"/>
      <c r="Y9" s="44"/>
      <c r="Z9" s="44"/>
      <c r="AA9" s="44"/>
      <c r="AB9" s="44"/>
    </row>
    <row r="10" spans="2:28">
      <c r="B10" s="35" t="s">
        <v>70</v>
      </c>
      <c r="C10" s="36">
        <f ca="1">COUNTIF('BTEC PROGRESS MONITORING'!$AX$4:'BTEC PROGRESS MONITORING'!$AX$103,"DDM")</f>
        <v>1</v>
      </c>
      <c r="D10" s="37"/>
      <c r="E10" s="44"/>
      <c r="F10" s="44"/>
      <c r="G10" s="44"/>
      <c r="H10" s="44"/>
      <c r="I10" s="44"/>
      <c r="J10" s="44"/>
      <c r="K10" s="44"/>
      <c r="L10" s="44"/>
      <c r="M10" s="44"/>
      <c r="N10" s="44"/>
      <c r="O10" s="44"/>
      <c r="P10" s="44"/>
      <c r="Q10" s="44"/>
      <c r="R10" s="44"/>
      <c r="S10" s="44"/>
      <c r="T10" s="44"/>
      <c r="U10" s="44"/>
      <c r="V10" s="44"/>
      <c r="W10" s="44"/>
      <c r="X10" s="44"/>
      <c r="Y10" s="44"/>
      <c r="Z10" s="44"/>
      <c r="AA10" s="44"/>
      <c r="AB10" s="44"/>
    </row>
    <row r="11" spans="2:28">
      <c r="B11" s="35" t="s">
        <v>29</v>
      </c>
      <c r="C11" s="36">
        <f ca="1">COUNTIF('BTEC PROGRESS MONITORING'!$AX$4:'BTEC PROGRESS MONITORING'!$AX$103,"DDD")</f>
        <v>0</v>
      </c>
      <c r="D11" s="37"/>
      <c r="E11" s="44"/>
      <c r="F11" s="44"/>
      <c r="G11" s="44"/>
      <c r="H11" s="44"/>
      <c r="I11" s="44"/>
      <c r="J11" s="44"/>
      <c r="K11" s="44"/>
      <c r="L11" s="44"/>
      <c r="M11" s="44"/>
      <c r="N11" s="44"/>
      <c r="O11" s="44"/>
      <c r="P11" s="44"/>
      <c r="Q11" s="44"/>
      <c r="R11" s="44"/>
      <c r="S11" s="44"/>
      <c r="T11" s="44"/>
      <c r="U11" s="44"/>
      <c r="V11" s="44"/>
      <c r="W11" s="44"/>
      <c r="X11" s="44"/>
      <c r="Y11" s="44"/>
      <c r="Z11" s="44"/>
      <c r="AA11" s="44"/>
      <c r="AB11" s="44"/>
    </row>
    <row r="12" spans="2:28">
      <c r="B12" s="35" t="s">
        <v>254</v>
      </c>
      <c r="C12" s="36">
        <f ca="1">COUNTIF('BTEC PROGRESS MONITORING'!$AX$4:'BTEC PROGRESS MONITORING'!$AX$103,"DDD~*")</f>
        <v>0</v>
      </c>
      <c r="D12" s="37"/>
      <c r="E12" s="44"/>
      <c r="F12" s="44"/>
      <c r="G12" s="44"/>
      <c r="H12" s="44"/>
      <c r="I12" s="44"/>
      <c r="J12" s="44"/>
      <c r="K12" s="44"/>
      <c r="L12" s="44"/>
      <c r="M12" s="44"/>
      <c r="N12" s="44"/>
      <c r="O12" s="44"/>
      <c r="P12" s="44"/>
      <c r="Q12" s="44"/>
      <c r="R12" s="44"/>
      <c r="S12" s="44"/>
      <c r="T12" s="44"/>
      <c r="U12" s="44"/>
      <c r="V12" s="44"/>
      <c r="W12" s="44"/>
      <c r="X12" s="44"/>
      <c r="Y12" s="44"/>
      <c r="Z12" s="44"/>
      <c r="AA12" s="44"/>
      <c r="AB12" s="44"/>
    </row>
    <row r="13" spans="2:28">
      <c r="B13" s="35" t="s">
        <v>257</v>
      </c>
      <c r="C13" s="36">
        <f ca="1">COUNTIF('BTEC PROGRESS MONITORING'!$AX$4:'BTEC PROGRESS MONITORING'!$AX$103,"DD~*D~*")</f>
        <v>0</v>
      </c>
      <c r="D13" s="37"/>
      <c r="E13" s="44"/>
      <c r="F13" s="44"/>
      <c r="G13" s="44"/>
      <c r="H13" s="44"/>
      <c r="I13" s="44"/>
      <c r="J13" s="44"/>
      <c r="K13" s="44"/>
      <c r="L13" s="44"/>
      <c r="M13" s="44"/>
      <c r="N13" s="44"/>
      <c r="O13" s="44"/>
      <c r="P13" s="44"/>
      <c r="Q13" s="44"/>
      <c r="R13" s="44"/>
      <c r="S13" s="44"/>
      <c r="T13" s="44"/>
      <c r="U13" s="44"/>
      <c r="V13" s="44"/>
      <c r="W13" s="44"/>
      <c r="X13" s="44"/>
      <c r="Y13" s="44"/>
      <c r="Z13" s="44"/>
      <c r="AA13" s="44"/>
      <c r="AB13" s="44"/>
    </row>
    <row r="14" spans="2:28" ht="16.5" customHeight="1">
      <c r="B14" s="41" t="s">
        <v>259</v>
      </c>
      <c r="C14" s="40">
        <f ca="1">COUNTIF('BTEC PROGRESS MONITORING'!$AX$4:'BTEC PROGRESS MONITORING'!$AX$103,"D~*D~*D~*")</f>
        <v>0</v>
      </c>
      <c r="D14" s="37"/>
      <c r="E14" s="44"/>
      <c r="F14" s="44"/>
      <c r="G14" s="44"/>
      <c r="H14" s="44"/>
      <c r="I14" s="44"/>
      <c r="J14" s="44"/>
      <c r="K14" s="44"/>
      <c r="L14" s="44"/>
      <c r="M14" s="44"/>
      <c r="N14" s="44"/>
      <c r="O14" s="44"/>
      <c r="P14" s="44"/>
      <c r="Q14" s="44"/>
      <c r="R14" s="44"/>
      <c r="S14" s="44"/>
      <c r="T14" s="44"/>
      <c r="U14" s="44"/>
      <c r="V14" s="44"/>
      <c r="W14" s="44"/>
      <c r="X14" s="44"/>
      <c r="Y14" s="44"/>
      <c r="Z14" s="44"/>
      <c r="AA14" s="44"/>
      <c r="AB14" s="44"/>
    </row>
    <row r="15" spans="2:28" ht="13.5" customHeight="1">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row>
    <row r="16" spans="2:28" ht="12.75" customHeight="1">
      <c r="B16" s="48"/>
      <c r="C16" s="48"/>
      <c r="D16" s="44"/>
      <c r="E16" s="44"/>
      <c r="F16" s="44"/>
      <c r="G16" s="44"/>
      <c r="H16" s="44"/>
      <c r="I16" s="44"/>
      <c r="J16" s="44"/>
      <c r="K16" s="44"/>
      <c r="L16" s="44"/>
      <c r="M16" s="44"/>
      <c r="N16" s="44"/>
      <c r="O16" s="44"/>
      <c r="P16" s="44"/>
      <c r="Q16" s="44"/>
      <c r="R16" s="44"/>
      <c r="S16" s="44"/>
      <c r="T16" s="44"/>
      <c r="U16" s="44"/>
      <c r="V16" s="44"/>
      <c r="W16" s="44"/>
      <c r="X16" s="44"/>
      <c r="Y16" s="44"/>
      <c r="Z16" s="44"/>
      <c r="AA16" s="44"/>
      <c r="AB16" s="44"/>
    </row>
    <row r="17" spans="2:28" ht="12.75" customHeight="1">
      <c r="B17" s="49"/>
      <c r="C17" s="49"/>
      <c r="D17" s="44"/>
      <c r="E17" s="44"/>
      <c r="F17" s="44"/>
      <c r="G17" s="44"/>
      <c r="H17" s="44"/>
      <c r="I17" s="44"/>
      <c r="J17" s="44"/>
      <c r="K17" s="44"/>
      <c r="L17" s="44"/>
      <c r="M17" s="44"/>
      <c r="N17" s="44"/>
      <c r="O17" s="44"/>
      <c r="P17" s="44"/>
      <c r="Q17" s="44"/>
      <c r="R17" s="44"/>
      <c r="S17" s="44"/>
      <c r="T17" s="44"/>
      <c r="U17" s="44"/>
      <c r="V17" s="44"/>
      <c r="W17" s="44"/>
      <c r="X17" s="44"/>
      <c r="Y17" s="44"/>
      <c r="Z17" s="44"/>
      <c r="AA17" s="44"/>
      <c r="AB17" s="44"/>
    </row>
    <row r="18" spans="2:28" ht="12.75" customHeight="1">
      <c r="B18" s="42"/>
      <c r="C18" s="43"/>
      <c r="D18" s="44"/>
      <c r="E18" s="44"/>
      <c r="F18" s="44"/>
      <c r="G18" s="44"/>
      <c r="H18" s="44"/>
      <c r="I18" s="44"/>
      <c r="J18" s="44"/>
      <c r="K18" s="44"/>
      <c r="L18" s="44"/>
      <c r="M18" s="44"/>
      <c r="N18" s="44"/>
      <c r="O18" s="44"/>
      <c r="P18" s="44"/>
      <c r="Q18" s="44"/>
      <c r="R18" s="44"/>
      <c r="S18" s="44"/>
      <c r="T18" s="44"/>
      <c r="U18" s="44"/>
      <c r="V18" s="44"/>
      <c r="W18" s="44"/>
      <c r="X18" s="44"/>
      <c r="Y18" s="44"/>
      <c r="Z18" s="44"/>
      <c r="AA18" s="44"/>
      <c r="AB18" s="44"/>
    </row>
    <row r="19" spans="2:28" ht="12.75" customHeight="1">
      <c r="B19" s="42"/>
      <c r="C19" s="43"/>
      <c r="D19" s="44"/>
      <c r="E19" s="44"/>
      <c r="F19" s="44"/>
      <c r="G19" s="44"/>
      <c r="H19" s="44"/>
      <c r="I19" s="44"/>
      <c r="J19" s="44"/>
      <c r="K19" s="44"/>
      <c r="L19" s="44"/>
      <c r="M19" s="44"/>
      <c r="N19" s="44"/>
      <c r="O19" s="44"/>
      <c r="P19" s="44"/>
      <c r="Q19" s="44"/>
      <c r="R19" s="44"/>
      <c r="S19" s="44"/>
      <c r="T19" s="44"/>
      <c r="U19" s="44"/>
      <c r="V19" s="44"/>
      <c r="W19" s="44"/>
      <c r="X19" s="44"/>
      <c r="Y19" s="44"/>
      <c r="Z19" s="44"/>
      <c r="AA19" s="44"/>
      <c r="AB19" s="44"/>
    </row>
    <row r="20" spans="2:28" ht="12.75" customHeight="1">
      <c r="B20" s="42"/>
      <c r="C20" s="43"/>
      <c r="D20" s="44"/>
      <c r="E20" s="44"/>
      <c r="F20" s="44"/>
      <c r="G20" s="44"/>
      <c r="H20" s="44"/>
      <c r="I20" s="44"/>
      <c r="J20" s="44"/>
      <c r="K20" s="44"/>
      <c r="L20" s="44"/>
      <c r="M20" s="44"/>
      <c r="N20" s="44"/>
      <c r="O20" s="44"/>
      <c r="P20" s="44"/>
      <c r="Q20" s="44"/>
      <c r="R20" s="44"/>
      <c r="S20" s="44"/>
      <c r="T20" s="44"/>
      <c r="U20" s="44"/>
      <c r="V20" s="44"/>
      <c r="W20" s="44"/>
      <c r="X20" s="44"/>
      <c r="Y20" s="44"/>
      <c r="Z20" s="44"/>
      <c r="AA20" s="44"/>
      <c r="AB20" s="44"/>
    </row>
    <row r="21" spans="2:28" ht="12.75" customHeight="1">
      <c r="B21" s="42"/>
      <c r="C21" s="43"/>
      <c r="D21" s="44"/>
      <c r="E21" s="44"/>
      <c r="F21" s="44"/>
      <c r="G21" s="44"/>
      <c r="H21" s="44"/>
      <c r="I21" s="44"/>
      <c r="J21" s="44"/>
      <c r="K21" s="44"/>
      <c r="L21" s="44"/>
      <c r="M21" s="44"/>
      <c r="N21" s="44"/>
      <c r="O21" s="44"/>
      <c r="P21" s="44"/>
      <c r="Q21" s="44"/>
      <c r="R21" s="44"/>
      <c r="S21" s="44"/>
      <c r="T21" s="44"/>
      <c r="U21" s="44"/>
      <c r="V21" s="44"/>
      <c r="W21" s="44"/>
      <c r="X21" s="44"/>
      <c r="Y21" s="44"/>
      <c r="Z21" s="44"/>
      <c r="AA21" s="44"/>
      <c r="AB21" s="44"/>
    </row>
    <row r="22" spans="2:28" ht="12.75" customHeight="1">
      <c r="B22" s="42"/>
      <c r="C22" s="43"/>
      <c r="D22" s="44"/>
      <c r="E22" s="44"/>
      <c r="F22" s="44"/>
      <c r="G22" s="44"/>
      <c r="H22" s="44"/>
      <c r="I22" s="44"/>
      <c r="J22" s="44"/>
      <c r="K22" s="44"/>
      <c r="L22" s="44"/>
      <c r="M22" s="44"/>
      <c r="N22" s="44"/>
      <c r="O22" s="44"/>
      <c r="P22" s="44"/>
      <c r="Q22" s="44"/>
      <c r="R22" s="44"/>
      <c r="S22" s="44"/>
      <c r="T22" s="44"/>
      <c r="U22" s="44"/>
      <c r="V22" s="44"/>
      <c r="W22" s="44"/>
      <c r="X22" s="44"/>
      <c r="Y22" s="44"/>
      <c r="Z22" s="44"/>
      <c r="AA22" s="44"/>
      <c r="AB22" s="44"/>
    </row>
    <row r="23" spans="2:28" ht="12.75" customHeight="1">
      <c r="B23" s="42"/>
      <c r="C23" s="43"/>
      <c r="D23" s="44"/>
      <c r="E23" s="44"/>
      <c r="F23" s="44"/>
      <c r="G23" s="44"/>
      <c r="H23" s="44"/>
      <c r="I23" s="44"/>
      <c r="J23" s="44"/>
      <c r="K23" s="44"/>
      <c r="L23" s="44"/>
      <c r="M23" s="44"/>
      <c r="N23" s="44"/>
      <c r="O23" s="44"/>
      <c r="P23" s="44"/>
      <c r="Q23" s="44"/>
      <c r="R23" s="44"/>
      <c r="S23" s="44"/>
      <c r="T23" s="44"/>
      <c r="U23" s="44"/>
      <c r="V23" s="44"/>
      <c r="W23" s="44"/>
      <c r="X23" s="44"/>
      <c r="Y23" s="44"/>
      <c r="Z23" s="44"/>
      <c r="AA23" s="44"/>
      <c r="AB23" s="44"/>
    </row>
    <row r="24" spans="2:28" ht="12.75" customHeight="1">
      <c r="B24" s="42"/>
      <c r="C24" s="43"/>
      <c r="D24" s="44"/>
      <c r="E24" s="44"/>
      <c r="F24" s="44"/>
      <c r="G24" s="44"/>
      <c r="H24" s="44"/>
      <c r="I24" s="44"/>
      <c r="J24" s="44"/>
      <c r="K24" s="44"/>
      <c r="L24" s="44"/>
      <c r="M24" s="44"/>
      <c r="N24" s="44"/>
      <c r="O24" s="44"/>
      <c r="P24" s="44"/>
      <c r="Q24" s="44"/>
      <c r="R24" s="44"/>
      <c r="S24" s="44"/>
      <c r="T24" s="44"/>
      <c r="U24" s="44"/>
      <c r="V24" s="44"/>
      <c r="W24" s="44"/>
      <c r="X24" s="44"/>
      <c r="Y24" s="44"/>
      <c r="Z24" s="44"/>
      <c r="AA24" s="44"/>
      <c r="AB24" s="44"/>
    </row>
    <row r="25" spans="2:28" ht="12.75" customHeight="1">
      <c r="B25" s="42"/>
      <c r="C25" s="43"/>
      <c r="D25" s="44"/>
      <c r="E25" s="44"/>
      <c r="F25" s="44"/>
      <c r="G25" s="44"/>
      <c r="H25" s="44"/>
      <c r="I25" s="44"/>
      <c r="J25" s="44"/>
      <c r="K25" s="44"/>
      <c r="L25" s="44"/>
      <c r="M25" s="44"/>
      <c r="N25" s="44"/>
      <c r="O25" s="44"/>
      <c r="P25" s="44"/>
      <c r="Q25" s="44"/>
      <c r="R25" s="44"/>
      <c r="S25" s="44"/>
      <c r="T25" s="44"/>
      <c r="U25" s="44"/>
      <c r="V25" s="44"/>
      <c r="W25" s="44"/>
      <c r="X25" s="44"/>
      <c r="Y25" s="44"/>
      <c r="Z25" s="44"/>
      <c r="AA25" s="44"/>
      <c r="AB25" s="44"/>
    </row>
    <row r="26" spans="2:28" ht="12.75" customHeight="1">
      <c r="B26" s="42"/>
      <c r="C26" s="43"/>
      <c r="D26" s="44"/>
      <c r="E26" s="44"/>
      <c r="F26" s="44"/>
      <c r="G26" s="44"/>
      <c r="H26" s="44"/>
      <c r="I26" s="44"/>
      <c r="J26" s="44"/>
      <c r="K26" s="44"/>
      <c r="L26" s="44"/>
      <c r="M26" s="44"/>
      <c r="N26" s="44"/>
      <c r="O26" s="44"/>
      <c r="P26" s="44"/>
      <c r="Q26" s="44"/>
      <c r="R26" s="44"/>
      <c r="S26" s="44"/>
      <c r="T26" s="44"/>
      <c r="U26" s="44"/>
      <c r="V26" s="44"/>
      <c r="W26" s="44"/>
      <c r="X26" s="44"/>
      <c r="Y26" s="44"/>
      <c r="Z26" s="44"/>
      <c r="AA26" s="44"/>
      <c r="AB26" s="44"/>
    </row>
    <row r="27" spans="2:28" ht="12.75" customHeight="1">
      <c r="B27" s="42"/>
      <c r="C27" s="43"/>
      <c r="D27" s="44"/>
      <c r="E27" s="44"/>
      <c r="F27" s="44"/>
      <c r="G27" s="44"/>
      <c r="H27" s="44"/>
      <c r="I27" s="44"/>
      <c r="J27" s="44"/>
      <c r="K27" s="44"/>
      <c r="L27" s="44"/>
      <c r="M27" s="44"/>
      <c r="N27" s="44"/>
      <c r="O27" s="44"/>
      <c r="P27" s="44"/>
      <c r="Q27" s="44"/>
      <c r="R27" s="44"/>
      <c r="S27" s="44"/>
      <c r="T27" s="44"/>
      <c r="U27" s="44"/>
      <c r="V27" s="44"/>
      <c r="W27" s="44"/>
      <c r="X27" s="44"/>
      <c r="Y27" s="44"/>
      <c r="Z27" s="44"/>
      <c r="AA27" s="44"/>
      <c r="AB27" s="44"/>
    </row>
    <row r="28" spans="2:28" ht="12.75" customHeight="1">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row>
    <row r="29" spans="2:28" ht="12.75" customHeight="1">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row>
    <row r="30" spans="2:28" ht="12.75" customHeight="1">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row>
    <row r="31" spans="2:28" ht="12.75" customHeight="1">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row>
    <row r="32" spans="2:28" ht="12.75" customHeight="1">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row>
    <row r="33" spans="2:28" ht="12.75" customHeight="1">
      <c r="B33" s="50"/>
      <c r="C33" s="50" t="s">
        <v>21</v>
      </c>
      <c r="D33" s="51"/>
      <c r="E33" s="50" t="s">
        <v>24</v>
      </c>
      <c r="F33" s="51"/>
      <c r="G33" s="50" t="s">
        <v>287</v>
      </c>
      <c r="H33" s="52" t="s">
        <v>288</v>
      </c>
      <c r="I33" s="44"/>
      <c r="J33" s="44"/>
      <c r="K33" s="44"/>
      <c r="L33" s="44"/>
      <c r="M33" s="44"/>
      <c r="N33" s="44"/>
      <c r="O33" s="44"/>
      <c r="P33" s="44"/>
      <c r="Q33" s="44"/>
      <c r="R33" s="44"/>
      <c r="S33" s="44"/>
      <c r="T33" s="44"/>
      <c r="U33" s="44"/>
      <c r="V33" s="44"/>
      <c r="W33" s="44"/>
      <c r="X33" s="44"/>
      <c r="Y33" s="44"/>
      <c r="Z33" s="44"/>
      <c r="AA33" s="44"/>
      <c r="AB33" s="44"/>
    </row>
    <row r="34" spans="2:28" ht="12.75" customHeight="1">
      <c r="B34" s="50"/>
      <c r="C34" s="50" t="s">
        <v>289</v>
      </c>
      <c r="D34" s="53" t="s">
        <v>290</v>
      </c>
      <c r="E34" s="50" t="s">
        <v>289</v>
      </c>
      <c r="F34" s="53" t="s">
        <v>290</v>
      </c>
      <c r="G34" s="54"/>
      <c r="H34" s="55"/>
      <c r="I34" s="44"/>
      <c r="J34" s="44"/>
      <c r="K34" s="44"/>
      <c r="L34" s="44"/>
      <c r="M34" s="45"/>
      <c r="N34" s="45"/>
      <c r="O34" s="45"/>
      <c r="P34" s="45"/>
      <c r="Q34" s="45"/>
      <c r="R34" s="44"/>
      <c r="S34" s="44"/>
      <c r="T34" s="44"/>
      <c r="U34" s="44"/>
      <c r="V34" s="44"/>
      <c r="W34" s="44"/>
      <c r="X34" s="44"/>
      <c r="Y34" s="44"/>
      <c r="Z34" s="44"/>
      <c r="AA34" s="44"/>
      <c r="AB34" s="44"/>
    </row>
    <row r="35" spans="2:28" ht="12.75" customHeight="1">
      <c r="B35" s="50">
        <v>1</v>
      </c>
      <c r="C35" s="56">
        <v>12280</v>
      </c>
      <c r="D35" s="57">
        <v>1364.4444444444443</v>
      </c>
      <c r="E35" s="56">
        <v>13700</v>
      </c>
      <c r="F35" s="57">
        <v>1370</v>
      </c>
      <c r="G35" s="56">
        <v>25980</v>
      </c>
      <c r="H35" s="58">
        <v>1367.3684210526317</v>
      </c>
      <c r="I35" s="44"/>
      <c r="J35" s="44"/>
      <c r="K35" s="44"/>
      <c r="L35" s="44"/>
      <c r="M35" s="45"/>
      <c r="N35" s="45"/>
      <c r="O35" s="45"/>
      <c r="P35" s="45"/>
      <c r="Q35" s="45"/>
      <c r="R35" s="44"/>
      <c r="S35" s="44"/>
      <c r="T35" s="44"/>
      <c r="U35" s="44"/>
      <c r="V35" s="44"/>
      <c r="W35" s="44"/>
      <c r="X35" s="44"/>
      <c r="Y35" s="44"/>
      <c r="Z35" s="44"/>
      <c r="AA35" s="44"/>
      <c r="AB35" s="44"/>
    </row>
    <row r="36" spans="2:28" ht="12.75" customHeight="1">
      <c r="B36" s="59">
        <v>2</v>
      </c>
      <c r="C36" s="60">
        <v>13530</v>
      </c>
      <c r="D36" s="61">
        <v>1353</v>
      </c>
      <c r="E36" s="60">
        <v>17830</v>
      </c>
      <c r="F36" s="61">
        <v>1371.5384615384614</v>
      </c>
      <c r="G36" s="60">
        <v>31360</v>
      </c>
      <c r="H36" s="62">
        <v>1363.4782608695652</v>
      </c>
      <c r="I36" s="44"/>
      <c r="J36" s="44"/>
      <c r="K36" s="44"/>
      <c r="L36" s="44"/>
      <c r="M36" s="45"/>
      <c r="N36" s="45"/>
      <c r="O36" s="45"/>
      <c r="P36" s="45"/>
      <c r="Q36" s="45"/>
      <c r="R36" s="44"/>
      <c r="S36" s="44"/>
      <c r="T36" s="44"/>
      <c r="U36" s="44"/>
      <c r="V36" s="44"/>
      <c r="W36" s="44"/>
      <c r="X36" s="44"/>
      <c r="Y36" s="44"/>
      <c r="Z36" s="44"/>
      <c r="AA36" s="44"/>
      <c r="AB36" s="44"/>
    </row>
    <row r="37" spans="2:28" ht="12.75" customHeight="1">
      <c r="B37" s="59">
        <v>3</v>
      </c>
      <c r="C37" s="60">
        <v>20630</v>
      </c>
      <c r="D37" s="61">
        <v>1375.3333333333333</v>
      </c>
      <c r="E37" s="60">
        <v>25790</v>
      </c>
      <c r="F37" s="61">
        <v>1357.3684210526317</v>
      </c>
      <c r="G37" s="60">
        <v>46420</v>
      </c>
      <c r="H37" s="62">
        <v>1365.2941176470588</v>
      </c>
      <c r="I37" s="44"/>
      <c r="J37" s="44"/>
      <c r="K37" s="44"/>
      <c r="L37" s="44"/>
      <c r="M37" s="44"/>
      <c r="N37" s="44"/>
      <c r="O37" s="44"/>
      <c r="P37" s="44"/>
      <c r="Q37" s="44"/>
      <c r="R37" s="44"/>
      <c r="S37" s="44"/>
      <c r="T37" s="44"/>
      <c r="U37" s="44"/>
      <c r="V37" s="44"/>
      <c r="W37" s="44"/>
      <c r="X37" s="44"/>
      <c r="Y37" s="44"/>
      <c r="Z37" s="44"/>
      <c r="AA37" s="44"/>
      <c r="AB37" s="44"/>
    </row>
    <row r="38" spans="2:28" ht="12.75" customHeight="1">
      <c r="B38" s="59">
        <v>4</v>
      </c>
      <c r="C38" s="60">
        <v>16320</v>
      </c>
      <c r="D38" s="61">
        <v>1360</v>
      </c>
      <c r="E38" s="60">
        <v>16250</v>
      </c>
      <c r="F38" s="61">
        <v>1354.1666666666667</v>
      </c>
      <c r="G38" s="60">
        <v>32570</v>
      </c>
      <c r="H38" s="62">
        <v>1357.0833333333333</v>
      </c>
      <c r="I38" s="44"/>
      <c r="J38" s="44"/>
      <c r="K38" s="44"/>
      <c r="L38" s="44"/>
      <c r="M38" s="44"/>
      <c r="N38" s="44"/>
      <c r="O38" s="44"/>
      <c r="P38" s="44"/>
      <c r="Q38" s="44"/>
      <c r="R38" s="44"/>
      <c r="S38" s="44"/>
      <c r="T38" s="44"/>
      <c r="U38" s="44"/>
      <c r="V38" s="44"/>
      <c r="W38" s="44"/>
      <c r="X38" s="44"/>
      <c r="Y38" s="44"/>
      <c r="Z38" s="44"/>
      <c r="AA38" s="44"/>
      <c r="AB38" s="44"/>
    </row>
    <row r="39" spans="2:28" ht="12.75" customHeight="1">
      <c r="B39" s="63" t="s">
        <v>291</v>
      </c>
      <c r="C39" s="64">
        <v>62760</v>
      </c>
      <c r="D39" s="65">
        <v>1364.3478260869565</v>
      </c>
      <c r="E39" s="64">
        <v>73570</v>
      </c>
      <c r="F39" s="65">
        <v>1362.4074074074074</v>
      </c>
      <c r="G39" s="64">
        <v>136330</v>
      </c>
      <c r="H39" s="66">
        <v>1363.3</v>
      </c>
      <c r="I39" s="44"/>
      <c r="J39" s="44"/>
      <c r="K39" s="44"/>
      <c r="L39" s="44"/>
      <c r="M39" s="44"/>
      <c r="N39" s="44"/>
      <c r="O39" s="44"/>
      <c r="P39" s="44"/>
      <c r="Q39" s="44"/>
      <c r="R39" s="44"/>
      <c r="S39" s="44"/>
      <c r="T39" s="44"/>
      <c r="U39" s="44"/>
      <c r="V39" s="44"/>
      <c r="W39" s="44"/>
      <c r="X39" s="44"/>
      <c r="Y39" s="44"/>
      <c r="Z39" s="44"/>
      <c r="AA39" s="44"/>
      <c r="AB39" s="44"/>
    </row>
    <row r="40" spans="2:28" ht="12.75" customHeight="1"/>
    <row r="41" spans="2:28" ht="12.75" customHeight="1"/>
    <row r="42" spans="2:28" ht="12.75" customHeight="1"/>
    <row r="43" spans="2:28" ht="12.75" customHeight="1"/>
    <row r="44" spans="2:28" ht="12.75" customHeight="1"/>
    <row r="45" spans="2:28" ht="12.75" customHeight="1"/>
    <row r="46" spans="2:28" ht="12.75" customHeight="1"/>
    <row r="47" spans="2:28" ht="12.75" customHeight="1"/>
    <row r="48" spans="2:2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sheetData>
  <mergeCells count="6">
    <mergeCell ref="B3:B4"/>
    <mergeCell ref="C3:C4"/>
    <mergeCell ref="Q3:Q4"/>
    <mergeCell ref="R3:R4"/>
    <mergeCell ref="B16:B17"/>
    <mergeCell ref="C16:C17"/>
  </mergeCells>
  <pageMargins left="0" right="0" top="0" bottom="0" header="0" footer="0"/>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Lewis Smith</cp:lastModifiedBy>
  <cp:revision/>
  <dcterms:created xsi:type="dcterms:W3CDTF">2025-11-27T09:57:02Z</dcterms:created>
  <dcterms:modified xsi:type="dcterms:W3CDTF">2025-11-27T09:57:02Z</dcterms:modified>
  <cp:category/>
  <cp:contentStatus/>
</cp:coreProperties>
</file>
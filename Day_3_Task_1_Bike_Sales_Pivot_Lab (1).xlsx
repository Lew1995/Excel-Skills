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justit831.sharepoint.com/sites/msteams_7dd761/Class Materials/Excel/PivotTables/"/>
    </mc:Choice>
  </mc:AlternateContent>
  <xr:revisionPtr revIDLastSave="170" documentId="8_{E1328450-1C62-4084-B266-336D7A81F888}" xr6:coauthVersionLast="47" xr6:coauthVersionMax="47" xr10:uidLastSave="{60546EA1-B94C-4BCE-AB8B-6E05AE5B73EF}"/>
  <bookViews>
    <workbookView xWindow="28680" yWindow="660" windowWidth="29040" windowHeight="16440" xr2:uid="{00000000-000D-0000-FFFF-FFFF00000000}"/>
  </bookViews>
  <sheets>
    <sheet name="Bike Sales" sheetId="1" r:id="rId1"/>
  </sheets>
  <definedNames>
    <definedName name="Slicer_Age_Group">#N/A</definedName>
    <definedName name="Slicer_Country">#N/A</definedName>
    <definedName name="Slicer_Customer_Gender">#N/A</definedName>
  </definedNames>
  <calcPr calcId="191028"/>
  <pivotCaches>
    <pivotCache cacheId="2745" r:id="rId2"/>
  </pivotCaches>
  <extLst>
    <ext xmlns:x14="http://schemas.microsoft.com/office/spreadsheetml/2009/9/main" uri="{BBE1A952-AA13-448e-AADC-164F8A28A991}">
      <x14:slicerCaches>
        <x14:slicerCache r:id="rId3"/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<sst xmlns="http://schemas.openxmlformats.org/spreadsheetml/2006/main" count="826" uniqueCount="164">
  <si>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</si>
  <si>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</si>
  <si>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</si>
  <si>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</si>
  <si>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</si>
  <si>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</si>
  <si>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</si>
  <si>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</si>
  <si>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</si>
  <si>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</si>
  <si>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</si>
  <si>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</si>
  <si>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</si>
  <si>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</si>
  <si>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</si>
  <si>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</si>
  <si>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</si>
  <si>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</si>
  <si>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</si>
  <si>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</si>
  <si>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</si>
  <si>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</si>
  <si>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</si>
  <si>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</si>
  <si>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</si>
  <si>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</si>
  <si>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</si>
  <si>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</si>
  <si>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</si>
  <si>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</si>
  <si>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</si>
  <si>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</si>
  <si>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</si>
  <si>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</si>
  <si>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</si>
  <si>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</si>
  <si>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</si>
  <si>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</si>
  <si>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</si>
  <si>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</si>
  <si>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Values</t>
  </si>
  <si>
    <t>000261699</t>
  </si>
  <si>
    <t>United  States</t>
  </si>
  <si>
    <t xml:space="preserve">Total Sum of  Profit </t>
  </si>
  <si>
    <t>Total Sum of Order_Quantity</t>
  </si>
  <si>
    <t>000261700</t>
  </si>
  <si>
    <t>Youth (&lt;25)</t>
  </si>
  <si>
    <t>Mountain-200 Black, 38</t>
  </si>
  <si>
    <t xml:space="preserve">Sum of  Profit </t>
  </si>
  <si>
    <t>Sum of Order_Quantity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</si>
  <si>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</si>
  <si>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</si>
  <si>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</si>
  <si>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</si>
  <si>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</si>
  <si>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</si>
  <si>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</si>
  <si>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</si>
  <si>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Grand Total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</si>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</sst>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_-[$£-809]* #,##0.00_-;\-[$£-809]* #,##0.00_-;_-[$£-809]* &quot;-&quot;??_-;_-@_-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_-[$£-809]* #,##0.00_-;\-[$£-809]* #,##0.00_-;_-[$£-809]* &quot;-&quot;??_-;_-@_-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microsoft.com/office/2007/relationships/slicerCache" Target="slicerCaches/slicerCache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microsoft.com/office/2007/relationships/slicerCache" Target="slicerCaches/slicerCache3.xml"/><Relationship Id="rId10" Type="http://schemas.openxmlformats.org/officeDocument/2006/relationships/customXml" Target="../customXml/item1.xml"/><Relationship Id="rId4" Type="http://schemas.microsoft.com/office/2007/relationships/slicerCache" Target="slicerCaches/slicerCache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[Day_3_Task_1_Bike_Sales_Pivot_Lab.xlsx]Bike Sales!PivotTable1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Profits for age 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472C4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'Bike Sales'!$W$5:$W$7</c:f>
              <c:strCache>
                <c:ptCount val="1"/>
                <c:pt idx="0">
                  <c:v>F - Sum of  Profit 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'Bike Sales'!$V$8:$V$11</c:f>
              <c:strCache>
                <c:ptCount val="3"/>
                <c:pt idx="0">
                  <c:v>Adults (35-64)</c:v>
                </c:pt>
                <c:pt idx="1">
                  <c:v>Young Adults (25-34)</c:v>
                </c:pt>
                <c:pt idx="2">
                  <c:v>Youth (&lt;25)</c:v>
                </c:pt>
              </c:strCache>
            </c:strRef>
          </c:cat>
          <c:val>
            <c:numRef>
              <c:f>'Bike Sales'!$W$8:$W$11</c:f>
              <c:numCache>
                <c:formatCode>_-[$£-809]* #,##0.00_-;\-[$£-809]* #,##0.00_-;_-[$£-809]* "-"??_-;_-@_-</c:formatCode>
                <c:ptCount val="3"/>
                <c:pt idx="0">
                  <c:v>52385</c:v>
                </c:pt>
                <c:pt idx="1">
                  <c:v>35559</c:v>
                </c:pt>
                <c:pt idx="2">
                  <c:v>9599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1-4C51-8FA2-5B820767B042}"/>
            </c:ext>
          </c:extLst>
        </c:ser>
        <c:ser>
          <c:idx val="1"/>
          <c:order val="1"/>
          <c:tx>
            <c:strRef>
              <c:f>'Bike Sales'!$X$5:$X$7</c:f>
              <c:strCache>
                <c:ptCount val="1"/>
                <c:pt idx="0">
                  <c:v>F - Sum of Order_Quantity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'Bike Sales'!$V$8:$V$11</c:f>
              <c:strCache>
                <c:ptCount val="3"/>
                <c:pt idx="0">
                  <c:v>Adults (35-64)</c:v>
                </c:pt>
                <c:pt idx="1">
                  <c:v>Young Adults (25-34)</c:v>
                </c:pt>
                <c:pt idx="2">
                  <c:v>Youth (&lt;25)</c:v>
                </c:pt>
              </c:strCache>
            </c:strRef>
          </c:cat>
          <c:val>
            <c:numRef>
              <c:f>'Bike Sales'!$X$8:$X$11</c:f>
              <c:numCache>
                <c:formatCode>General</c:formatCode>
                <c:ptCount val="3"/>
                <c:pt idx="0">
                  <c:v>55</c:v>
                </c:pt>
                <c:pt idx="1">
                  <c:v>37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581-4C51-8FA2-5B820767B042}"/>
            </c:ext>
          </c:extLst>
        </c:ser>
        <c:ser>
          <c:idx val="2"/>
          <c:order val="2"/>
          <c:tx>
            <c:strRef>
              <c:f>'Bike Sales'!$Y$5:$Y$7</c:f>
              <c:strCache>
                <c:ptCount val="1"/>
                <c:pt idx="0">
                  <c:v>M - Sum of  Profit 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'Bike Sales'!$V$8:$V$11</c:f>
              <c:strCache>
                <c:ptCount val="3"/>
                <c:pt idx="0">
                  <c:v>Adults (35-64)</c:v>
                </c:pt>
                <c:pt idx="1">
                  <c:v>Young Adults (25-34)</c:v>
                </c:pt>
                <c:pt idx="2">
                  <c:v>Youth (&lt;25)</c:v>
                </c:pt>
              </c:strCache>
            </c:strRef>
          </c:cat>
          <c:val>
            <c:numRef>
              <c:f>'Bike Sales'!$Y$8:$Y$11</c:f>
              <c:numCache>
                <c:formatCode>_-[$£-809]* #,##0.00_-;\-[$£-809]* #,##0.00_-;_-[$£-809]* "-"??_-;_-@_-</c:formatCode>
                <c:ptCount val="3"/>
                <c:pt idx="0">
                  <c:v>41111</c:v>
                </c:pt>
                <c:pt idx="1">
                  <c:v>18403</c:v>
                </c:pt>
                <c:pt idx="2">
                  <c:v>6451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581-4C51-8FA2-5B820767B042}"/>
            </c:ext>
          </c:extLst>
        </c:ser>
        <c:ser>
          <c:idx val="3"/>
          <c:order val="3"/>
          <c:tx>
            <c:strRef>
              <c:f>'Bike Sales'!$Z$5:$Z$7</c:f>
              <c:strCache>
                <c:ptCount val="1"/>
                <c:pt idx="0">
                  <c:v>M - Sum of Order_Quantity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'Bike Sales'!$V$8:$V$11</c:f>
              <c:strCache>
                <c:ptCount val="3"/>
                <c:pt idx="0">
                  <c:v>Adults (35-64)</c:v>
                </c:pt>
                <c:pt idx="1">
                  <c:v>Young Adults (25-34)</c:v>
                </c:pt>
                <c:pt idx="2">
                  <c:v>Youth (&lt;25)</c:v>
                </c:pt>
              </c:strCache>
            </c:strRef>
          </c:cat>
          <c:val>
            <c:numRef>
              <c:f>'Bike Sales'!$Z$8:$Z$11</c:f>
              <c:numCache>
                <c:formatCode>General</c:formatCode>
                <c:ptCount val="3"/>
                <c:pt idx="0">
                  <c:v>44</c:v>
                </c:pt>
                <c:pt idx="1">
                  <c:v>24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81-4C51-8FA2-5B820767B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568199"/>
        <c:axId val="114591239"/>
      </c:barChart>
      <c:catAx>
        <c:axId val="114568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91239"/>
        <c:crosses val="autoZero"/>
        <c:auto val="1"/>
        <c:lblAlgn val="ctr"/>
        <c:lblOffset val="100"/>
        <c:noMultiLvlLbl val="0"/>
      </c:catAx>
      <c:valAx>
        <c:axId val="114591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68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523875</xdr:colOff>
      <xdr:row>22</xdr:row>
      <xdr:rowOff>133350</xdr:rowOff>
    </xdr:from>
    <xdr:to>
      <xdr:col>25</xdr:col>
      <xdr:colOff>123825</xdr:colOff>
      <xdr:row>37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E4E42E-D7A1-69AD-DC79-490BDB534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885825</xdr:colOff>
      <xdr:row>22</xdr:row>
      <xdr:rowOff>171450</xdr:rowOff>
    </xdr:from>
    <xdr:to>
      <xdr:col>27</xdr:col>
      <xdr:colOff>1438275</xdr:colOff>
      <xdr:row>37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Age_Group">
              <a:extLst>
                <a:ext uri="{FF2B5EF4-FFF2-40B4-BE49-F238E27FC236}">
                  <a16:creationId xmlns:a16="http://schemas.microsoft.com/office/drawing/2014/main" id="{29ADA507-E04F-7612-79E7-DCB930B347B2}"/>
                </a:ext>
                <a:ext uri="{147F2762-F138-4A5C-976F-8EAC2B608ADB}">
                  <a16:predDERef xmlns:a16="http://schemas.microsoft.com/office/drawing/2014/main" pred="{00E4E42E-D7A1-69AD-DC79-490BDB534E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_Group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31800" y="41529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25</xdr:col>
      <xdr:colOff>304800</xdr:colOff>
      <xdr:row>23</xdr:row>
      <xdr:rowOff>9525</xdr:rowOff>
    </xdr:from>
    <xdr:to>
      <xdr:col>26</xdr:col>
      <xdr:colOff>638175</xdr:colOff>
      <xdr:row>37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ountry">
              <a:extLst>
                <a:ext uri="{FF2B5EF4-FFF2-40B4-BE49-F238E27FC236}">
                  <a16:creationId xmlns:a16="http://schemas.microsoft.com/office/drawing/2014/main" id="{D70C6F2D-8BEA-5D12-8D09-FC77CEF368A7}"/>
                </a:ext>
                <a:ext uri="{147F2762-F138-4A5C-976F-8EAC2B608ADB}">
                  <a16:predDERef xmlns:a16="http://schemas.microsoft.com/office/drawing/2014/main" pred="{29ADA507-E04F-7612-79E7-DCB930B347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755350" y="41719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27</xdr:col>
      <xdr:colOff>1647825</xdr:colOff>
      <xdr:row>22</xdr:row>
      <xdr:rowOff>171450</xdr:rowOff>
    </xdr:from>
    <xdr:to>
      <xdr:col>29</xdr:col>
      <xdr:colOff>504825</xdr:colOff>
      <xdr:row>37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Customer_Gender">
              <a:extLst>
                <a:ext uri="{FF2B5EF4-FFF2-40B4-BE49-F238E27FC236}">
                  <a16:creationId xmlns:a16="http://schemas.microsoft.com/office/drawing/2014/main" id="{B752A7DC-0985-B474-C675-02E9BAAED872}"/>
                </a:ext>
                <a:ext uri="{147F2762-F138-4A5C-976F-8EAC2B608ADB}">
                  <a16:predDERef xmlns:a16="http://schemas.microsoft.com/office/drawing/2014/main" pred="{D70C6F2D-8BEA-5D12-8D09-FC77CEF368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Gend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870150" y="41529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0.621895370372" createdVersion="8" refreshedVersion="8" minRefreshableVersion="3" recordCount="88" xr:uid="{B96A9B44-78D7-422B-8781-75DAC25E945A}">
  <cacheSource type="worksheet">
    <worksheetSource ref="A1:S89" sheet="Bike Sales"/>
  </cacheSource>
  <cacheFields count="19">
    <cacheField name="Sales_Order #" numFmtId="49">
      <sharedItems count="88">
        <s v="000261696"/>
        <s v="000261695"/>
        <s v="000261697"/>
        <s v="000261698"/>
        <s v="000261699"/>
        <s v="000261700"/>
        <s v="000261701"/>
        <s v="000261702"/>
        <s v="000261703"/>
        <s v="000261704"/>
        <s v="000261705"/>
        <s v="000261706"/>
        <s v="000261707"/>
        <s v="000261708"/>
        <s v="000261709"/>
        <s v="000261710"/>
        <s v="000261711"/>
        <s v="000261712"/>
        <s v="000261713"/>
        <s v="000261714"/>
        <s v="000261715"/>
        <s v="000261716"/>
        <s v="000261717"/>
        <s v="000261718"/>
        <s v="000261719"/>
        <s v="000261720"/>
        <s v="000261721"/>
        <s v="000261722"/>
        <s v="000261723"/>
        <s v="000261724"/>
        <s v="000261725"/>
        <s v="000261726"/>
        <s v="000261727"/>
        <s v="000261728"/>
        <s v="000261729"/>
        <s v="000261730"/>
        <s v="000261731"/>
        <s v="000261732"/>
        <s v="000261733"/>
        <s v="000261734"/>
        <s v="000261735"/>
        <s v="000261736"/>
        <s v="000261737"/>
        <s v="000261738"/>
        <s v="000261739"/>
        <s v="000261740"/>
        <s v="000261741"/>
        <s v="000261742"/>
        <s v="000261743"/>
        <s v="000261744"/>
        <s v="000261745"/>
        <s v="000261746"/>
        <s v="000261747"/>
        <s v="000261748"/>
        <s v="000261749"/>
        <s v="000261750"/>
        <s v="000261751"/>
        <s v="000261752"/>
        <s v="000261753"/>
        <s v="000261754"/>
        <s v="000261755"/>
        <s v="000261756"/>
        <s v="000261757"/>
        <s v="000261758"/>
        <s v="000261759"/>
        <s v="000261760"/>
        <s v="000261761"/>
        <s v="000261762"/>
        <s v="000261763"/>
        <s v="000261764"/>
        <s v="000261765"/>
        <s v="000261766"/>
        <s v="000261767"/>
        <s v="000261768"/>
        <s v="000261769"/>
        <s v="000261770"/>
        <s v="000261771"/>
        <s v="000261772"/>
        <s v="000261773"/>
        <s v="000261774"/>
        <s v="000261775"/>
        <s v="000261776"/>
        <s v="000261777"/>
        <s v="000261778"/>
        <s v="000261779"/>
        <s v="000261780"/>
        <s v="000261781"/>
        <s v="000261782"/>
      </sharedItems>
    </cacheField>
    <cacheField name="Date" numFmtId="14">
      <sharedItems containsSemiMixedTypes="0" containsNonDate="0" containsDate="1" containsString="0" minDate="2021-12-01T00:00:00" maxDate="2021-12-25T00:00:00" count="24"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</sharedItems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 count="1">
        <n v="2021"/>
      </sharedItems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 count="17">
        <s v="California"/>
        <s v="England"/>
        <s v="New South Wales"/>
        <s v="Washington"/>
        <s v="Nordrhein-Westfalen"/>
        <s v="Queensland"/>
        <s v="British Columbia"/>
        <s v="Oregon"/>
        <s v="Victoria"/>
        <s v="Hamburg"/>
        <s v="Seine (Paris)"/>
        <s v="Seine et Marne"/>
        <s v="Seine Saint Denis"/>
        <s v="Nord"/>
        <s v="South Australia"/>
        <s v="Hessen"/>
        <s v="Somme"/>
      </sharedItems>
    </cacheField>
    <cacheField name="Product_Category" numFmtId="0">
      <sharedItems count="1">
        <s v="Bikes"/>
      </sharedItems>
    </cacheField>
    <cacheField name="Sub_Category" numFmtId="0">
      <sharedItems count="1">
        <s v="Mountain Bikes"/>
      </sharedItems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 pivotCacheId="103674585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x v="0"/>
    <n v="1"/>
    <s v="December"/>
    <x v="0"/>
    <n v="39"/>
    <x v="0"/>
    <x v="0"/>
    <x v="0"/>
    <x v="0"/>
    <x v="0"/>
    <x v="0"/>
    <s v="Mountain-200 Black, 46"/>
    <n v="4"/>
    <n v="1252"/>
    <n v="2295"/>
    <n v="4172"/>
    <n v="5008"/>
    <n v="9180"/>
  </r>
  <r>
    <x v="1"/>
    <x v="0"/>
    <n v="1"/>
    <s v="December"/>
    <x v="0"/>
    <n v="44"/>
    <x v="0"/>
    <x v="1"/>
    <x v="1"/>
    <x v="1"/>
    <x v="0"/>
    <x v="0"/>
    <s v="Mountain-200 Silver, 42"/>
    <n v="1"/>
    <n v="1266"/>
    <n v="2320"/>
    <n v="1054"/>
    <n v="1266"/>
    <n v="2320"/>
  </r>
  <r>
    <x v="2"/>
    <x v="1"/>
    <n v="2"/>
    <s v="December"/>
    <x v="0"/>
    <n v="37"/>
    <x v="0"/>
    <x v="1"/>
    <x v="0"/>
    <x v="0"/>
    <x v="0"/>
    <x v="0"/>
    <s v="Mountain-400-W Silver, 46"/>
    <n v="2"/>
    <n v="420"/>
    <n v="769"/>
    <n v="698"/>
    <n v="840"/>
    <n v="1538"/>
  </r>
  <r>
    <x v="3"/>
    <x v="1"/>
    <n v="2"/>
    <s v="December"/>
    <x v="0"/>
    <n v="31"/>
    <x v="1"/>
    <x v="0"/>
    <x v="2"/>
    <x v="2"/>
    <x v="0"/>
    <x v="0"/>
    <s v="Mountain-400-W Silver, 42"/>
    <n v="1"/>
    <n v="420"/>
    <n v="769"/>
    <n v="349"/>
    <n v="420"/>
    <n v="769"/>
  </r>
  <r>
    <x v="4"/>
    <x v="2"/>
    <n v="3"/>
    <s v="December"/>
    <x v="0"/>
    <n v="37"/>
    <x v="0"/>
    <x v="0"/>
    <x v="3"/>
    <x v="0"/>
    <x v="0"/>
    <x v="0"/>
    <s v="Mountain-200 Black, 46"/>
    <n v="2"/>
    <n v="1252"/>
    <n v="2295"/>
    <n v="2086"/>
    <n v="2504"/>
    <n v="4590"/>
  </r>
  <r>
    <x v="5"/>
    <x v="2"/>
    <n v="3"/>
    <s v="December"/>
    <x v="0"/>
    <n v="24"/>
    <x v="2"/>
    <x v="0"/>
    <x v="1"/>
    <x v="1"/>
    <x v="0"/>
    <x v="0"/>
    <s v="Mountain-200 Black, 38"/>
    <n v="1"/>
    <n v="1252"/>
    <n v="2295"/>
    <n v="1043"/>
    <n v="1252"/>
    <n v="2295"/>
  </r>
  <r>
    <x v="6"/>
    <x v="2"/>
    <n v="3"/>
    <s v="December"/>
    <x v="0"/>
    <n v="37"/>
    <x v="0"/>
    <x v="1"/>
    <x v="4"/>
    <x v="3"/>
    <x v="0"/>
    <x v="0"/>
    <s v="Mountain-200 Black, 46"/>
    <n v="1"/>
    <n v="1252"/>
    <n v="2295"/>
    <n v="1043"/>
    <n v="1252"/>
    <n v="2295"/>
  </r>
  <r>
    <x v="7"/>
    <x v="3"/>
    <n v="4"/>
    <s v="December"/>
    <x v="0"/>
    <n v="31"/>
    <x v="1"/>
    <x v="0"/>
    <x v="2"/>
    <x v="2"/>
    <x v="0"/>
    <x v="0"/>
    <s v="Mountain-400-W Silver, 42"/>
    <n v="4"/>
    <n v="420"/>
    <n v="769"/>
    <n v="1396"/>
    <n v="1680"/>
    <n v="3076"/>
  </r>
  <r>
    <x v="8"/>
    <x v="4"/>
    <n v="5"/>
    <s v="December"/>
    <x v="0"/>
    <n v="39"/>
    <x v="0"/>
    <x v="0"/>
    <x v="0"/>
    <x v="0"/>
    <x v="0"/>
    <x v="0"/>
    <s v="Mountain-200 Black, 46"/>
    <n v="4"/>
    <n v="1252"/>
    <n v="2295"/>
    <n v="4172"/>
    <n v="5008"/>
    <n v="9180"/>
  </r>
  <r>
    <x v="9"/>
    <x v="4"/>
    <m/>
    <s v="December"/>
    <x v="0"/>
    <n v="42"/>
    <x v="0"/>
    <x v="1"/>
    <x v="5"/>
    <x v="4"/>
    <x v="0"/>
    <x v="0"/>
    <s v="Mountain-200 Black, 38"/>
    <n v="4"/>
    <n v="1252"/>
    <n v="2295"/>
    <n v="4172"/>
    <n v="5008"/>
    <n v="9180"/>
  </r>
  <r>
    <x v="10"/>
    <x v="4"/>
    <n v="5"/>
    <s v="December"/>
    <x v="0"/>
    <n v="35"/>
    <x v="0"/>
    <x v="0"/>
    <x v="2"/>
    <x v="5"/>
    <x v="0"/>
    <x v="0"/>
    <s v="Mountain-200 Silver, 38"/>
    <n v="1"/>
    <n v="1266"/>
    <n v="2320"/>
    <n v="1054"/>
    <n v="1266"/>
    <n v="2320"/>
  </r>
  <r>
    <x v="11"/>
    <x v="4"/>
    <n v="5"/>
    <s v="December"/>
    <x v="0"/>
    <n v="37"/>
    <x v="0"/>
    <x v="0"/>
    <x v="0"/>
    <x v="0"/>
    <x v="0"/>
    <x v="0"/>
    <s v="Mountain-200 Black, 46"/>
    <n v="1"/>
    <n v="1252"/>
    <n v="2295"/>
    <n v="1043"/>
    <n v="1252"/>
    <n v="2295"/>
  </r>
  <r>
    <x v="12"/>
    <x v="5"/>
    <n v="6"/>
    <s v="December"/>
    <x v="0"/>
    <n v="23"/>
    <x v="2"/>
    <x v="1"/>
    <x v="1"/>
    <x v="1"/>
    <x v="0"/>
    <x v="0"/>
    <s v="Mountain-400-W Silver, 46"/>
    <n v="3"/>
    <n v="420"/>
    <n v="769"/>
    <n v="1047"/>
    <n v="1260"/>
    <n v="2307"/>
  </r>
  <r>
    <x v="13"/>
    <x v="5"/>
    <n v="6"/>
    <s v="December"/>
    <x v="0"/>
    <n v="27"/>
    <x v="1"/>
    <x v="1"/>
    <x v="6"/>
    <x v="6"/>
    <x v="0"/>
    <x v="0"/>
    <s v="Mountain-200 Black, 46"/>
    <n v="1"/>
    <n v="1252"/>
    <n v="2295"/>
    <n v="1043"/>
    <n v="1252"/>
    <n v="2295"/>
  </r>
  <r>
    <x v="14"/>
    <x v="5"/>
    <n v="6"/>
    <s v="December"/>
    <x v="0"/>
    <n v="36"/>
    <x v="0"/>
    <x v="1"/>
    <x v="2"/>
    <x v="2"/>
    <x v="0"/>
    <x v="0"/>
    <s v="Mountain-200 Black, 42"/>
    <n v="1"/>
    <n v="1252"/>
    <n v="2295"/>
    <n v="1043"/>
    <n v="1252"/>
    <n v="2295"/>
  </r>
  <r>
    <x v="15"/>
    <x v="5"/>
    <n v="6"/>
    <s v="December"/>
    <x v="0"/>
    <n v="47"/>
    <x v="0"/>
    <x v="1"/>
    <x v="1"/>
    <x v="1"/>
    <x v="0"/>
    <x v="0"/>
    <s v="Mountain-200 Silver, 38"/>
    <n v="1"/>
    <n v="1266"/>
    <n v="2320"/>
    <n v="1054"/>
    <n v="1266"/>
    <n v="2320"/>
  </r>
  <r>
    <x v="16"/>
    <x v="6"/>
    <n v="7"/>
    <s v="December"/>
    <x v="0"/>
    <n v="30"/>
    <x v="1"/>
    <x v="1"/>
    <x v="0"/>
    <x v="0"/>
    <x v="0"/>
    <x v="0"/>
    <s v="Mountain-400-W Silver, 38"/>
    <n v="4"/>
    <n v="420"/>
    <n v="769"/>
    <n v="1396"/>
    <n v="1680"/>
    <n v="3076"/>
  </r>
  <r>
    <x v="17"/>
    <x v="6"/>
    <n v="7"/>
    <s v="December"/>
    <x v="0"/>
    <n v="38"/>
    <x v="0"/>
    <x v="1"/>
    <x v="0"/>
    <x v="0"/>
    <x v="0"/>
    <x v="0"/>
    <s v="Mountain-200 Silver, 42"/>
    <n v="2"/>
    <n v="1266"/>
    <n v="2320"/>
    <n v="2108"/>
    <n v="2532"/>
    <n v="4640"/>
  </r>
  <r>
    <x v="18"/>
    <x v="7"/>
    <n v="8"/>
    <s v="December"/>
    <x v="0"/>
    <n v="19"/>
    <x v="2"/>
    <x v="0"/>
    <x v="2"/>
    <x v="2"/>
    <x v="0"/>
    <x v="0"/>
    <s v="Mountain-500 Silver, 42"/>
    <n v="4"/>
    <n v="308"/>
    <n v="565"/>
    <n v="1028"/>
    <n v="1232"/>
    <n v="2260"/>
  </r>
  <r>
    <x v="19"/>
    <x v="7"/>
    <n v="8"/>
    <s v="December"/>
    <x v="0"/>
    <n v="30"/>
    <x v="1"/>
    <x v="0"/>
    <x v="6"/>
    <x v="6"/>
    <x v="0"/>
    <x v="0"/>
    <s v="Mountain-200 Silver, 38"/>
    <n v="4"/>
    <n v="1266"/>
    <n v="2320"/>
    <n v="4216"/>
    <n v="5064"/>
    <n v="9280"/>
  </r>
  <r>
    <x v="20"/>
    <x v="7"/>
    <n v="8"/>
    <s v="December"/>
    <x v="0"/>
    <n v="39"/>
    <x v="0"/>
    <x v="0"/>
    <x v="0"/>
    <x v="7"/>
    <x v="0"/>
    <x v="0"/>
    <s v="Mountain-500 Black, 42"/>
    <n v="2"/>
    <n v="1252"/>
    <n v="2295"/>
    <n v="2086"/>
    <n v="2504"/>
    <n v="4590"/>
  </r>
  <r>
    <x v="21"/>
    <x v="7"/>
    <n v="8"/>
    <s v="December"/>
    <x v="0"/>
    <n v="35"/>
    <x v="0"/>
    <x v="0"/>
    <x v="0"/>
    <x v="0"/>
    <x v="0"/>
    <x v="0"/>
    <s v="Mountain-500 Black, 42"/>
    <n v="1"/>
    <n v="295"/>
    <n v="540"/>
    <n v="245"/>
    <n v="295"/>
    <n v="540"/>
  </r>
  <r>
    <x v="22"/>
    <x v="8"/>
    <n v="9"/>
    <s v="December"/>
    <x v="0"/>
    <n v="33"/>
    <x v="1"/>
    <x v="0"/>
    <x v="2"/>
    <x v="8"/>
    <x v="0"/>
    <x v="0"/>
    <s v="Mountain-100 Black, 38"/>
    <n v="2"/>
    <n v="1898"/>
    <n v="3375"/>
    <n v="2954"/>
    <n v="3796"/>
    <n v="6750"/>
  </r>
  <r>
    <x v="23"/>
    <x v="8"/>
    <n v="9"/>
    <s v="December"/>
    <x v="0"/>
    <n v="41"/>
    <x v="0"/>
    <x v="0"/>
    <x v="5"/>
    <x v="9"/>
    <x v="0"/>
    <x v="0"/>
    <s v="Mountain-200 Silver, 42"/>
    <n v="1"/>
    <n v="1266"/>
    <n v="2320"/>
    <n v="1054"/>
    <n v="1266"/>
    <n v="2320"/>
  </r>
  <r>
    <x v="24"/>
    <x v="9"/>
    <n v="10"/>
    <s v="December"/>
    <x v="0"/>
    <n v="34"/>
    <x v="1"/>
    <x v="0"/>
    <x v="0"/>
    <x v="0"/>
    <x v="0"/>
    <x v="0"/>
    <s v="Mountain-200 Black, 42"/>
    <n v="2"/>
    <n v="1252"/>
    <n v="2295"/>
    <n v="2086"/>
    <n v="2504"/>
    <n v="4590"/>
  </r>
  <r>
    <x v="25"/>
    <x v="9"/>
    <n v="10"/>
    <s v="December"/>
    <x v="0"/>
    <n v="40"/>
    <x v="0"/>
    <x v="1"/>
    <x v="2"/>
    <x v="2"/>
    <x v="0"/>
    <x v="0"/>
    <s v="Mountain-200 Black, 42"/>
    <n v="2"/>
    <n v="1252"/>
    <n v="2295"/>
    <n v="2086"/>
    <n v="2504"/>
    <n v="4590"/>
  </r>
  <r>
    <x v="26"/>
    <x v="9"/>
    <n v="10"/>
    <s v="December"/>
    <x v="0"/>
    <n v="26"/>
    <x v="1"/>
    <x v="1"/>
    <x v="1"/>
    <x v="1"/>
    <x v="0"/>
    <x v="0"/>
    <s v="Mountain-200 Black, 38"/>
    <n v="1"/>
    <n v="1252"/>
    <n v="2295"/>
    <n v="1043"/>
    <n v="1252"/>
    <n v="2295"/>
  </r>
  <r>
    <x v="27"/>
    <x v="9"/>
    <n v="10"/>
    <s v="December"/>
    <x v="0"/>
    <n v="34"/>
    <x v="1"/>
    <x v="1"/>
    <x v="0"/>
    <x v="0"/>
    <x v="0"/>
    <x v="0"/>
    <s v="Mountain-500 Black, 40"/>
    <n v="1"/>
    <n v="295"/>
    <n v="540"/>
    <n v="245"/>
    <n v="295"/>
    <n v="540"/>
  </r>
  <r>
    <x v="28"/>
    <x v="9"/>
    <n v="10"/>
    <s v="December"/>
    <x v="0"/>
    <n v="34"/>
    <x v="1"/>
    <x v="0"/>
    <x v="0"/>
    <x v="3"/>
    <x v="0"/>
    <x v="0"/>
    <s v="Mountain-100 Silver, 44"/>
    <n v="1"/>
    <n v="1912"/>
    <n v="3400"/>
    <n v="1488"/>
    <n v="1912"/>
    <n v="3400"/>
  </r>
  <r>
    <x v="29"/>
    <x v="9"/>
    <n v="10"/>
    <s v="December"/>
    <x v="0"/>
    <n v="38"/>
    <x v="0"/>
    <x v="1"/>
    <x v="2"/>
    <x v="2"/>
    <x v="0"/>
    <x v="0"/>
    <s v="Mountain-200 Black, 38"/>
    <n v="1"/>
    <n v="1252"/>
    <n v="2295"/>
    <n v="1043"/>
    <n v="1252"/>
    <n v="2295"/>
  </r>
  <r>
    <x v="30"/>
    <x v="10"/>
    <n v="11"/>
    <s v="December"/>
    <x v="0"/>
    <n v="24"/>
    <x v="2"/>
    <x v="0"/>
    <x v="7"/>
    <x v="10"/>
    <x v="0"/>
    <x v="0"/>
    <s v="Mountain-200 Black, 38"/>
    <n v="3"/>
    <n v="1252"/>
    <n v="2295"/>
    <n v="3129"/>
    <n v="3756"/>
    <n v="6885"/>
  </r>
  <r>
    <x v="31"/>
    <x v="10"/>
    <n v="11"/>
    <s v="December"/>
    <x v="0"/>
    <n v="41"/>
    <x v="0"/>
    <x v="0"/>
    <x v="2"/>
    <x v="2"/>
    <x v="0"/>
    <x v="0"/>
    <s v="Mountain-400-W Silver, 38"/>
    <n v="2"/>
    <n v="420"/>
    <n v="769"/>
    <n v="698"/>
    <n v="840"/>
    <n v="1538"/>
  </r>
  <r>
    <x v="32"/>
    <x v="10"/>
    <n v="11"/>
    <s v="December"/>
    <x v="0"/>
    <n v="27"/>
    <x v="1"/>
    <x v="1"/>
    <x v="6"/>
    <x v="6"/>
    <x v="0"/>
    <x v="0"/>
    <s v="Mountain-200 Black, 46"/>
    <n v="1"/>
    <n v="1252"/>
    <n v="2295"/>
    <n v="1043"/>
    <n v="1252"/>
    <n v="2295"/>
  </r>
  <r>
    <x v="33"/>
    <x v="10"/>
    <n v="11"/>
    <s v="December"/>
    <x v="0"/>
    <n v="37"/>
    <x v="0"/>
    <x v="1"/>
    <x v="0"/>
    <x v="0"/>
    <x v="0"/>
    <x v="0"/>
    <s v="Mountain-400-W Silver, 46"/>
    <n v="1"/>
    <n v="420"/>
    <n v="769"/>
    <n v="349"/>
    <n v="420"/>
    <n v="769"/>
  </r>
  <r>
    <x v="34"/>
    <x v="10"/>
    <n v="11"/>
    <s v="December"/>
    <x v="0"/>
    <n v="38"/>
    <x v="0"/>
    <x v="0"/>
    <x v="0"/>
    <x v="0"/>
    <x v="0"/>
    <x v="0"/>
    <s v="Mountain-200 Silver, 38"/>
    <n v="1"/>
    <n v="1266"/>
    <n v="2320"/>
    <n v="1054"/>
    <n v="1266"/>
    <n v="2320"/>
  </r>
  <r>
    <x v="35"/>
    <x v="11"/>
    <n v="12"/>
    <s v="December"/>
    <x v="0"/>
    <n v="36"/>
    <x v="0"/>
    <x v="0"/>
    <x v="2"/>
    <x v="2"/>
    <x v="0"/>
    <x v="0"/>
    <s v="Mountain-200 Silver, 42"/>
    <n v="4"/>
    <n v="1266"/>
    <n v="2320"/>
    <n v="4216"/>
    <n v="5064"/>
    <n v="9280"/>
  </r>
  <r>
    <x v="36"/>
    <x v="11"/>
    <n v="12"/>
    <s v="December"/>
    <x v="0"/>
    <n v="37"/>
    <x v="0"/>
    <x v="1"/>
    <x v="0"/>
    <x v="0"/>
    <x v="0"/>
    <x v="0"/>
    <s v="Mountain-400-W Silver, 46"/>
    <n v="4"/>
    <n v="420"/>
    <n v="769"/>
    <n v="1396"/>
    <n v="1680"/>
    <n v="3076"/>
  </r>
  <r>
    <x v="37"/>
    <x v="11"/>
    <n v="12"/>
    <s v="December"/>
    <x v="0"/>
    <n v="34"/>
    <x v="1"/>
    <x v="1"/>
    <x v="2"/>
    <x v="2"/>
    <x v="0"/>
    <x v="0"/>
    <s v="Mountain-200 Black, 38"/>
    <n v="2"/>
    <n v="1252"/>
    <n v="2295"/>
    <n v="2086"/>
    <n v="2504"/>
    <n v="4590"/>
  </r>
  <r>
    <x v="38"/>
    <x v="11"/>
    <n v="12"/>
    <s v="December"/>
    <x v="0"/>
    <n v="35"/>
    <x v="0"/>
    <x v="0"/>
    <x v="2"/>
    <x v="8"/>
    <x v="0"/>
    <x v="0"/>
    <s v="Mountain-200 Silver, 42"/>
    <n v="1"/>
    <n v="1266"/>
    <n v="2320"/>
    <n v="1054"/>
    <n v="1266"/>
    <n v="2320"/>
  </r>
  <r>
    <x v="39"/>
    <x v="11"/>
    <n v="12"/>
    <s v="December"/>
    <x v="0"/>
    <n v="38"/>
    <x v="0"/>
    <x v="0"/>
    <x v="0"/>
    <x v="3"/>
    <x v="0"/>
    <x v="0"/>
    <s v="Mountain-200 Silver, 42"/>
    <n v="1"/>
    <n v="1266"/>
    <n v="2320"/>
    <n v="1054"/>
    <n v="1266"/>
    <n v="2320"/>
  </r>
  <r>
    <x v="40"/>
    <x v="12"/>
    <n v="13"/>
    <s v="December"/>
    <x v="0"/>
    <n v="32"/>
    <x v="1"/>
    <x v="0"/>
    <x v="2"/>
    <x v="5"/>
    <x v="0"/>
    <x v="0"/>
    <s v="Mountain-200 Silver, 42"/>
    <n v="3"/>
    <n v="1266"/>
    <n v="2320"/>
    <n v="3162"/>
    <n v="3798"/>
    <n v="6960"/>
  </r>
  <r>
    <x v="41"/>
    <x v="12"/>
    <n v="13"/>
    <s v="December"/>
    <x v="0"/>
    <n v="40"/>
    <x v="0"/>
    <x v="0"/>
    <x v="0"/>
    <x v="0"/>
    <x v="0"/>
    <x v="0"/>
    <s v="Mountain-500 Silver, 40"/>
    <n v="1"/>
    <n v="308"/>
    <n v="565"/>
    <n v="257"/>
    <n v="308"/>
    <n v="565"/>
  </r>
  <r>
    <x v="42"/>
    <x v="12"/>
    <n v="13"/>
    <s v="December"/>
    <x v="0"/>
    <n v="44"/>
    <x v="0"/>
    <x v="0"/>
    <x v="1"/>
    <x v="1"/>
    <x v="0"/>
    <x v="0"/>
    <s v="Mountain-200 Black, 38"/>
    <n v="1"/>
    <n v="1252"/>
    <n v="2295"/>
    <n v="1043"/>
    <n v="1252"/>
    <n v="2295"/>
  </r>
  <r>
    <x v="43"/>
    <x v="12"/>
    <n v="13"/>
    <s v="December"/>
    <x v="0"/>
    <n v="49"/>
    <x v="0"/>
    <x v="1"/>
    <x v="1"/>
    <x v="1"/>
    <x v="0"/>
    <x v="0"/>
    <s v="Mountain-200 Black, 38"/>
    <n v="1"/>
    <n v="1252"/>
    <n v="2295"/>
    <n v="1043"/>
    <n v="1252"/>
    <n v="2295"/>
  </r>
  <r>
    <x v="44"/>
    <x v="13"/>
    <n v="14"/>
    <s v="December"/>
    <x v="0"/>
    <n v="30"/>
    <x v="1"/>
    <x v="0"/>
    <x v="0"/>
    <x v="3"/>
    <x v="0"/>
    <x v="0"/>
    <s v="Mountain-200 Silver, 38"/>
    <n v="2"/>
    <n v="1266"/>
    <n v="2320"/>
    <n v="2108"/>
    <n v="2532"/>
    <n v="4640"/>
  </r>
  <r>
    <x v="45"/>
    <x v="13"/>
    <n v="14"/>
    <s v="December"/>
    <x v="0"/>
    <n v="32"/>
    <x v="1"/>
    <x v="1"/>
    <x v="0"/>
    <x v="0"/>
    <x v="0"/>
    <x v="0"/>
    <s v="Mountain-200 Black, 46"/>
    <n v="1"/>
    <n v="1252"/>
    <n v="2295"/>
    <n v="1043"/>
    <n v="1252"/>
    <n v="2295"/>
  </r>
  <r>
    <x v="46"/>
    <x v="13"/>
    <n v="14"/>
    <s v="December"/>
    <x v="0"/>
    <n v="32"/>
    <x v="1"/>
    <x v="0"/>
    <x v="2"/>
    <x v="8"/>
    <x v="0"/>
    <x v="0"/>
    <s v="Mountain-400-W Silver, 46"/>
    <n v="1"/>
    <n v="420"/>
    <n v="769"/>
    <n v="349"/>
    <n v="420"/>
    <n v="769"/>
  </r>
  <r>
    <x v="47"/>
    <x v="14"/>
    <n v="15"/>
    <s v="December"/>
    <x v="0"/>
    <n v="29"/>
    <x v="1"/>
    <x v="0"/>
    <x v="0"/>
    <x v="0"/>
    <x v="0"/>
    <x v="0"/>
    <s v="Mountain-200 Silver, 42"/>
    <n v="1"/>
    <n v="1266"/>
    <n v="2320"/>
    <n v="1054"/>
    <n v="1266"/>
    <n v="2320"/>
  </r>
  <r>
    <x v="48"/>
    <x v="15"/>
    <n v="16"/>
    <s v="December"/>
    <x v="0"/>
    <n v="33"/>
    <x v="1"/>
    <x v="0"/>
    <x v="2"/>
    <x v="2"/>
    <x v="0"/>
    <x v="0"/>
    <s v="Mountain-200 Black, 38"/>
    <n v="2"/>
    <n v="1252"/>
    <n v="2295"/>
    <n v="2086"/>
    <n v="2504"/>
    <n v="4590"/>
  </r>
  <r>
    <x v="49"/>
    <x v="15"/>
    <n v="16"/>
    <s v="December"/>
    <x v="0"/>
    <n v="38"/>
    <x v="0"/>
    <x v="1"/>
    <x v="2"/>
    <x v="2"/>
    <x v="0"/>
    <x v="0"/>
    <s v="Mountain-200 Black, 38"/>
    <n v="2"/>
    <n v="1252"/>
    <n v="2295"/>
    <n v="2086"/>
    <n v="2504"/>
    <n v="4590"/>
  </r>
  <r>
    <x v="50"/>
    <x v="15"/>
    <n v="16"/>
    <s v="December"/>
    <x v="0"/>
    <n v="27"/>
    <x v="1"/>
    <x v="0"/>
    <x v="7"/>
    <x v="11"/>
    <x v="0"/>
    <x v="0"/>
    <s v="Mountain-200 Silver, 46"/>
    <n v="1"/>
    <n v="1266"/>
    <n v="2320"/>
    <n v="1054"/>
    <n v="1266"/>
    <n v="2320"/>
  </r>
  <r>
    <x v="51"/>
    <x v="16"/>
    <n v="17"/>
    <s v="December"/>
    <x v="0"/>
    <n v="37"/>
    <x v="0"/>
    <x v="0"/>
    <x v="0"/>
    <x v="3"/>
    <x v="0"/>
    <x v="0"/>
    <s v="Mountain-200 Silver, 38"/>
    <n v="2"/>
    <n v="1266"/>
    <n v="2320"/>
    <n v="2108"/>
    <n v="2532"/>
    <n v="4640"/>
  </r>
  <r>
    <x v="52"/>
    <x v="16"/>
    <n v="17"/>
    <s v="December"/>
    <x v="0"/>
    <n v="31"/>
    <x v="1"/>
    <x v="1"/>
    <x v="2"/>
    <x v="2"/>
    <x v="0"/>
    <x v="0"/>
    <s v="Mountain-400-W Silver, 42"/>
    <n v="1"/>
    <n v="420"/>
    <n v="769"/>
    <n v="349"/>
    <n v="420"/>
    <n v="769"/>
  </r>
  <r>
    <x v="53"/>
    <x v="16"/>
    <n v="17"/>
    <s v="December"/>
    <x v="0"/>
    <n v="42"/>
    <x v="0"/>
    <x v="0"/>
    <x v="5"/>
    <x v="4"/>
    <x v="0"/>
    <x v="0"/>
    <s v="Mountain-200 Silver, 46"/>
    <n v="1"/>
    <n v="1266"/>
    <n v="2320"/>
    <n v="1054"/>
    <n v="1266"/>
    <n v="2320"/>
  </r>
  <r>
    <x v="54"/>
    <x v="17"/>
    <n v="18"/>
    <s v="December"/>
    <x v="0"/>
    <n v="35"/>
    <x v="0"/>
    <x v="0"/>
    <x v="2"/>
    <x v="2"/>
    <x v="0"/>
    <x v="0"/>
    <s v="Mountain-500 Silver, 42"/>
    <n v="4"/>
    <n v="308"/>
    <n v="565"/>
    <n v="1028"/>
    <n v="1232"/>
    <n v="2260"/>
  </r>
  <r>
    <x v="55"/>
    <x v="17"/>
    <n v="18"/>
    <s v="December"/>
    <x v="0"/>
    <n v="38"/>
    <x v="0"/>
    <x v="0"/>
    <x v="5"/>
    <x v="4"/>
    <x v="0"/>
    <x v="0"/>
    <s v="Mountain-200 Silver, 46"/>
    <n v="4"/>
    <n v="1266"/>
    <n v="2320"/>
    <n v="4216"/>
    <n v="5064"/>
    <n v="9280"/>
  </r>
  <r>
    <x v="56"/>
    <x v="17"/>
    <n v="18"/>
    <s v="December"/>
    <x v="0"/>
    <n v="24"/>
    <x v="2"/>
    <x v="0"/>
    <x v="7"/>
    <x v="12"/>
    <x v="0"/>
    <x v="0"/>
    <s v="Mountain-200 Silver, 38"/>
    <n v="3"/>
    <n v="1266"/>
    <n v="2320"/>
    <n v="3162"/>
    <n v="3798"/>
    <n v="6960"/>
  </r>
  <r>
    <x v="57"/>
    <x v="17"/>
    <n v="18"/>
    <s v="December"/>
    <x v="0"/>
    <n v="26"/>
    <x v="1"/>
    <x v="0"/>
    <x v="1"/>
    <x v="1"/>
    <x v="0"/>
    <x v="0"/>
    <s v="Mountain-400-W Silver, 42"/>
    <n v="3"/>
    <n v="420"/>
    <n v="769"/>
    <n v="1047"/>
    <n v="1260"/>
    <n v="2307"/>
  </r>
  <r>
    <x v="58"/>
    <x v="17"/>
    <n v="18"/>
    <s v="December"/>
    <x v="0"/>
    <n v="39"/>
    <x v="0"/>
    <x v="1"/>
    <x v="0"/>
    <x v="0"/>
    <x v="0"/>
    <x v="0"/>
    <s v="Mountain-200 Black, 42"/>
    <n v="3"/>
    <n v="1252"/>
    <n v="2295"/>
    <n v="3129"/>
    <n v="3756"/>
    <n v="6885"/>
  </r>
  <r>
    <x v="59"/>
    <x v="17"/>
    <n v="18"/>
    <s v="December"/>
    <x v="0"/>
    <n v="26"/>
    <x v="1"/>
    <x v="1"/>
    <x v="7"/>
    <x v="10"/>
    <x v="0"/>
    <x v="0"/>
    <s v="Mountain-200 Black, 46"/>
    <n v="1"/>
    <n v="1252"/>
    <n v="2295"/>
    <n v="1043"/>
    <n v="1252"/>
    <n v="2295"/>
  </r>
  <r>
    <x v="60"/>
    <x v="17"/>
    <n v="18"/>
    <s v="December"/>
    <x v="0"/>
    <n v="36"/>
    <x v="0"/>
    <x v="1"/>
    <x v="0"/>
    <x v="3"/>
    <x v="0"/>
    <x v="0"/>
    <s v="Mountain-200 Silver, 38"/>
    <n v="1"/>
    <n v="1266"/>
    <n v="2320"/>
    <n v="1054"/>
    <n v="1266"/>
    <n v="2320"/>
  </r>
  <r>
    <x v="61"/>
    <x v="18"/>
    <n v="19"/>
    <s v="December"/>
    <x v="0"/>
    <n v="17"/>
    <x v="2"/>
    <x v="1"/>
    <x v="7"/>
    <x v="13"/>
    <x v="0"/>
    <x v="0"/>
    <s v="Mountain-200 Silver, 46"/>
    <n v="4"/>
    <n v="1266"/>
    <n v="2320"/>
    <n v="4216"/>
    <n v="5064"/>
    <n v="9280"/>
  </r>
  <r>
    <x v="62"/>
    <x v="18"/>
    <n v="19"/>
    <s v="December"/>
    <x v="0"/>
    <n v="19"/>
    <x v="2"/>
    <x v="0"/>
    <x v="2"/>
    <x v="8"/>
    <x v="0"/>
    <x v="0"/>
    <s v="Mountain-500 Black, 44"/>
    <n v="4"/>
    <n v="295"/>
    <n v="540"/>
    <n v="980"/>
    <n v="1180"/>
    <n v="2160"/>
  </r>
  <r>
    <x v="63"/>
    <x v="18"/>
    <n v="19"/>
    <s v="December"/>
    <x v="0"/>
    <n v="25"/>
    <x v="1"/>
    <x v="1"/>
    <x v="7"/>
    <x v="10"/>
    <x v="0"/>
    <x v="0"/>
    <s v="Mountain-200 Black, 38"/>
    <n v="4"/>
    <n v="1252"/>
    <n v="2295"/>
    <n v="4172"/>
    <n v="5008"/>
    <n v="9180"/>
  </r>
  <r>
    <x v="64"/>
    <x v="18"/>
    <n v="19"/>
    <s v="December"/>
    <x v="0"/>
    <n v="35"/>
    <x v="0"/>
    <x v="0"/>
    <x v="0"/>
    <x v="7"/>
    <x v="0"/>
    <x v="0"/>
    <s v="Mountain-100 Black, 48"/>
    <n v="4"/>
    <n v="1898"/>
    <n v="3375"/>
    <n v="5908"/>
    <n v="7592"/>
    <n v="13500"/>
  </r>
  <r>
    <x v="65"/>
    <x v="18"/>
    <n v="19"/>
    <s v="December"/>
    <x v="0"/>
    <n v="37"/>
    <x v="0"/>
    <x v="1"/>
    <x v="0"/>
    <x v="7"/>
    <x v="0"/>
    <x v="0"/>
    <s v="Mountain-200 Black, 38"/>
    <n v="4"/>
    <n v="1252"/>
    <n v="2295"/>
    <n v="4172"/>
    <n v="5008"/>
    <n v="9180"/>
  </r>
  <r>
    <x v="66"/>
    <x v="18"/>
    <n v="19"/>
    <s v="December"/>
    <x v="0"/>
    <n v="39"/>
    <x v="0"/>
    <x v="0"/>
    <x v="0"/>
    <x v="0"/>
    <x v="0"/>
    <x v="0"/>
    <s v="Mountain-200 Black, 46"/>
    <n v="4"/>
    <n v="1252"/>
    <n v="2295"/>
    <n v="4172"/>
    <n v="5008"/>
    <n v="9180"/>
  </r>
  <r>
    <x v="67"/>
    <x v="18"/>
    <n v="19"/>
    <s v="December"/>
    <x v="0"/>
    <n v="63"/>
    <x v="0"/>
    <x v="0"/>
    <x v="2"/>
    <x v="5"/>
    <x v="0"/>
    <x v="0"/>
    <s v="Mountain-200 Black, 46"/>
    <n v="4"/>
    <n v="1252"/>
    <n v="2295"/>
    <n v="4172"/>
    <n v="5008"/>
    <n v="9180"/>
  </r>
  <r>
    <x v="68"/>
    <x v="18"/>
    <n v="19"/>
    <s v="December"/>
    <x v="0"/>
    <n v="18"/>
    <x v="2"/>
    <x v="1"/>
    <x v="2"/>
    <x v="14"/>
    <x v="0"/>
    <x v="0"/>
    <s v="Mountain-500 Black, 40"/>
    <n v="2"/>
    <n v="295"/>
    <n v="540"/>
    <n v="490"/>
    <n v="590"/>
    <n v="1080"/>
  </r>
  <r>
    <x v="69"/>
    <x v="18"/>
    <n v="19"/>
    <s v="December"/>
    <x v="0"/>
    <n v="56"/>
    <x v="0"/>
    <x v="0"/>
    <x v="5"/>
    <x v="15"/>
    <x v="0"/>
    <x v="0"/>
    <s v="Mountain-200 Black, 46"/>
    <n v="2"/>
    <n v="1252"/>
    <n v="2295"/>
    <n v="2086"/>
    <n v="2504"/>
    <n v="4590"/>
  </r>
  <r>
    <x v="70"/>
    <x v="18"/>
    <n v="19"/>
    <s v="December"/>
    <x v="0"/>
    <n v="39"/>
    <x v="0"/>
    <x v="0"/>
    <x v="0"/>
    <x v="3"/>
    <x v="0"/>
    <x v="0"/>
    <s v="Mountain-200 Silver, 38"/>
    <n v="1"/>
    <n v="1266"/>
    <n v="2320"/>
    <n v="1054"/>
    <n v="1266"/>
    <n v="2320"/>
  </r>
  <r>
    <x v="71"/>
    <x v="19"/>
    <n v="20"/>
    <s v="December"/>
    <x v="0"/>
    <n v="33"/>
    <x v="1"/>
    <x v="0"/>
    <x v="2"/>
    <x v="8"/>
    <x v="0"/>
    <x v="0"/>
    <s v="Mountain-100 Black, 38"/>
    <n v="4"/>
    <n v="1898"/>
    <n v="3375"/>
    <n v="5908"/>
    <n v="7592"/>
    <n v="13500"/>
  </r>
  <r>
    <x v="72"/>
    <x v="19"/>
    <n v="20"/>
    <s v="December"/>
    <x v="0"/>
    <n v="57"/>
    <x v="0"/>
    <x v="1"/>
    <x v="2"/>
    <x v="5"/>
    <x v="0"/>
    <x v="0"/>
    <s v="Mountain-200 Black, 46"/>
    <n v="4"/>
    <n v="1252"/>
    <n v="2295"/>
    <n v="4172"/>
    <n v="5008"/>
    <n v="9180"/>
  </r>
  <r>
    <x v="73"/>
    <x v="19"/>
    <n v="20"/>
    <s v="December"/>
    <x v="0"/>
    <n v="29"/>
    <x v="1"/>
    <x v="1"/>
    <x v="6"/>
    <x v="6"/>
    <x v="0"/>
    <x v="0"/>
    <s v="Mountain-500 Black, 52"/>
    <n v="3"/>
    <n v="295"/>
    <n v="540"/>
    <n v="735"/>
    <n v="885"/>
    <n v="1620"/>
  </r>
  <r>
    <x v="74"/>
    <x v="19"/>
    <n v="20"/>
    <s v="December"/>
    <x v="0"/>
    <n v="35"/>
    <x v="0"/>
    <x v="0"/>
    <x v="2"/>
    <x v="5"/>
    <x v="0"/>
    <x v="0"/>
    <s v="Mountain-200 Silver, 38"/>
    <n v="1"/>
    <n v="1266"/>
    <n v="2320"/>
    <n v="1054"/>
    <n v="1266"/>
    <n v="2320"/>
  </r>
  <r>
    <x v="75"/>
    <x v="19"/>
    <n v="20"/>
    <s v="December"/>
    <x v="0"/>
    <n v="35"/>
    <x v="0"/>
    <x v="1"/>
    <x v="2"/>
    <x v="8"/>
    <x v="0"/>
    <x v="0"/>
    <s v="Mountain-200 Silver, 38"/>
    <n v="1"/>
    <n v="1266"/>
    <n v="2320"/>
    <n v="1054"/>
    <n v="1266"/>
    <n v="2320"/>
  </r>
  <r>
    <x v="76"/>
    <x v="20"/>
    <n v="21"/>
    <s v="December"/>
    <x v="0"/>
    <n v="26"/>
    <x v="1"/>
    <x v="1"/>
    <x v="7"/>
    <x v="16"/>
    <x v="0"/>
    <x v="0"/>
    <s v="Mountain-200 Silver, 38"/>
    <n v="3"/>
    <n v="1266"/>
    <n v="2320"/>
    <n v="3162"/>
    <n v="3798"/>
    <n v="6960"/>
  </r>
  <r>
    <x v="77"/>
    <x v="20"/>
    <n v="21"/>
    <s v="December"/>
    <x v="0"/>
    <n v="23"/>
    <x v="2"/>
    <x v="1"/>
    <x v="1"/>
    <x v="1"/>
    <x v="0"/>
    <x v="0"/>
    <s v="Mountain-400-W Silver, 46"/>
    <n v="2"/>
    <n v="420"/>
    <n v="769"/>
    <n v="698"/>
    <n v="840"/>
    <n v="1538"/>
  </r>
  <r>
    <x v="78"/>
    <x v="21"/>
    <n v="22"/>
    <s v="December"/>
    <x v="0"/>
    <n v="30"/>
    <x v="1"/>
    <x v="0"/>
    <x v="0"/>
    <x v="3"/>
    <x v="0"/>
    <x v="0"/>
    <s v="Mountain-200 Silver, 38"/>
    <n v="3"/>
    <n v="1266"/>
    <n v="2320"/>
    <n v="3162"/>
    <n v="3798"/>
    <n v="6960"/>
  </r>
  <r>
    <x v="79"/>
    <x v="21"/>
    <n v="22"/>
    <s v="December"/>
    <x v="0"/>
    <n v="41"/>
    <x v="0"/>
    <x v="1"/>
    <x v="0"/>
    <x v="0"/>
    <x v="0"/>
    <x v="0"/>
    <s v="Mountain-200 Black, 42"/>
    <n v="3"/>
    <n v="1252"/>
    <n v="2295"/>
    <n v="3129"/>
    <n v="3756"/>
    <n v="6885"/>
  </r>
  <r>
    <x v="80"/>
    <x v="21"/>
    <n v="22"/>
    <s v="December"/>
    <x v="0"/>
    <n v="19"/>
    <x v="2"/>
    <x v="0"/>
    <x v="2"/>
    <x v="2"/>
    <x v="0"/>
    <x v="0"/>
    <s v="Mountain-500 Silver, 42"/>
    <n v="1"/>
    <n v="308"/>
    <n v="565"/>
    <n v="257"/>
    <n v="308"/>
    <n v="565"/>
  </r>
  <r>
    <x v="81"/>
    <x v="21"/>
    <n v="22"/>
    <s v="December"/>
    <x v="0"/>
    <n v="25"/>
    <x v="1"/>
    <x v="1"/>
    <x v="7"/>
    <x v="10"/>
    <x v="0"/>
    <x v="0"/>
    <s v="Mountain-200 Black, 38"/>
    <n v="1"/>
    <n v="1252"/>
    <n v="2295"/>
    <n v="1043"/>
    <n v="1252"/>
    <n v="2295"/>
  </r>
  <r>
    <x v="82"/>
    <x v="21"/>
    <n v="22"/>
    <s v="December"/>
    <x v="0"/>
    <n v="27"/>
    <x v="1"/>
    <x v="0"/>
    <x v="6"/>
    <x v="6"/>
    <x v="0"/>
    <x v="0"/>
    <s v="Mountain-200 Black, 46"/>
    <n v="1"/>
    <n v="1252"/>
    <n v="2295"/>
    <n v="1043"/>
    <n v="1252"/>
    <n v="2295"/>
  </r>
  <r>
    <x v="83"/>
    <x v="21"/>
    <n v="22"/>
    <s v="December"/>
    <x v="0"/>
    <n v="41"/>
    <x v="0"/>
    <x v="1"/>
    <x v="5"/>
    <x v="15"/>
    <x v="0"/>
    <x v="0"/>
    <s v="Mountain-200 Silver, 38"/>
    <n v="1"/>
    <n v="1266"/>
    <n v="2320"/>
    <n v="1054"/>
    <n v="1266"/>
    <n v="2320"/>
  </r>
  <r>
    <x v="84"/>
    <x v="22"/>
    <n v="23"/>
    <s v="December"/>
    <x v="0"/>
    <n v="30"/>
    <x v="1"/>
    <x v="0"/>
    <x v="0"/>
    <x v="7"/>
    <x v="0"/>
    <x v="0"/>
    <s v="Mountain-200 Silver, 42"/>
    <n v="1"/>
    <n v="1266"/>
    <n v="2320"/>
    <n v="1054"/>
    <n v="1266"/>
    <n v="2320"/>
  </r>
  <r>
    <x v="85"/>
    <x v="22"/>
    <n v="23"/>
    <s v="December"/>
    <x v="0"/>
    <n v="31"/>
    <x v="1"/>
    <x v="0"/>
    <x v="6"/>
    <x v="6"/>
    <x v="0"/>
    <x v="0"/>
    <s v="Mountain-200 Black, 42"/>
    <n v="1"/>
    <n v="1252"/>
    <n v="2295"/>
    <n v="1043"/>
    <n v="1252"/>
    <n v="2295"/>
  </r>
  <r>
    <x v="86"/>
    <x v="22"/>
    <n v="23"/>
    <s v="December"/>
    <x v="0"/>
    <n v="35"/>
    <x v="0"/>
    <x v="0"/>
    <x v="0"/>
    <x v="0"/>
    <x v="0"/>
    <x v="0"/>
    <s v="Mountain-500 Black, 42"/>
    <n v="1"/>
    <n v="295"/>
    <n v="540"/>
    <n v="245"/>
    <n v="295"/>
    <n v="540"/>
  </r>
  <r>
    <x v="87"/>
    <x v="23"/>
    <n v="24"/>
    <s v="December"/>
    <x v="0"/>
    <n v="38"/>
    <x v="0"/>
    <x v="1"/>
    <x v="2"/>
    <x v="5"/>
    <x v="0"/>
    <x v="0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152ECE-32A5-4739-B227-EBB4394DBC5A}" name="PivotTable1" cacheId="27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V5:AB11" firstHeaderRow="1" firstDataRow="3" firstDataCol="1"/>
  <pivotFields count="19">
    <pivotField compact="0" outline="0" showAll="0">
      <items count="89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compact="0" outline="0" showAll="0"/>
    <pivotField compact="0" outline="0" showAll="0">
      <items count="2">
        <item x="0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compact="0" outline="0" showAll="0">
      <items count="18">
        <item x="6"/>
        <item x="0"/>
        <item x="1"/>
        <item x="9"/>
        <item x="15"/>
        <item x="2"/>
        <item x="13"/>
        <item x="4"/>
        <item x="7"/>
        <item x="5"/>
        <item x="10"/>
        <item x="11"/>
        <item x="12"/>
        <item x="16"/>
        <item x="14"/>
        <item x="8"/>
        <item x="3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2">
    <field x="7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 Profit " fld="16" baseField="0" baseItem="0" numFmtId="164"/>
    <dataField name="Sum of Order_Quantity" fld="13" baseField="0" baseItem="0"/>
  </dataFields>
  <formats count="4">
    <format dxfId="3">
      <pivotArea outline="0" collapsedLevelsAreSubtotals="1" fieldPosition="0"/>
    </format>
    <format dxfId="4">
      <pivotArea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format>
    <format dxfId="5">
      <pivotArea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format>
    <format dxfId="6">
      <pivotArea field="7" grandCol="1" outline="0" axis="axisCol" fieldPosition="0">
        <references count="1">
          <reference field="4294967294" count="1" selected="0">
            <x v="1"/>
          </reference>
        </references>
      </pivotArea>
    </format>
  </formats>
  <chartFormats count="21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4" series="1">
      <pivotArea type="data" grandCol="1" outline="0" fieldPosition="0">
        <references count="1">
          <reference field="4294967294" count="1" selected="0">
            <x v="0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ge_Group" xr10:uid="{239046BD-8221-4691-9022-EEB6CAF8CA33}" sourceName="Age_Group">
  <pivotTables>
    <pivotTable tabId="1" name="PivotTable1"/>
  </pivotTables>
  <data>
    <tabular pivotCacheId="1036745858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F563C937-928B-40CE-91A5-429FFC389C6A}" sourceName="Country">
  <pivotTables>
    <pivotTable tabId="1" name="PivotTable1"/>
  </pivotTables>
  <data>
    <tabular pivotCacheId="1036745858">
      <items count="8">
        <i x="2" s="1"/>
        <i x="6" s="1"/>
        <i x="7" s="1"/>
        <i x="5" s="1"/>
        <i x="3" s="1"/>
        <i x="1" s="1"/>
        <i x="0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ustomer_Gender" xr10:uid="{D18331D5-46BA-42B9-AA77-A0731527F193}" sourceName="Customer_Gender">
  <pivotTables>
    <pivotTable tabId="1" name="PivotTable1"/>
  </pivotTables>
  <data>
    <tabular pivotCacheId="1036745858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ge_Group" xr10:uid="{A5FAE4D6-FE87-41B1-B792-2FDAFBDE975F}" cache="Slicer_Age_Group" caption="Age_Group" rowHeight="228600"/>
  <slicer name="Country" xr10:uid="{99079D7D-C162-4766-B0E9-0E8A77AE9F4A}" cache="Slicer_Country" caption="Country" rowHeight="228600"/>
  <slicer name="Customer_Gender" xr10:uid="{DD4D4271-8B85-47DE-B9FC-2D46F0395CA0}" cache="Slicer_Customer_Gender" caption="Customer_Gender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9"/>
  <sheetViews>
    <sheetView tabSelected="1" topLeftCell="S1" workbookViewId="0">
      <selection activeCell="AA5" activeCellId="2" sqref="V5:W11 Y5:Y11 AA5:AA11"/>
    </sheetView>
  </sheetViews>
  <sheetFormatPr defaultRowHeight="14.4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  <col min="22" max="22" width="19.7109375" bestFit="1" customWidth="1"/>
    <col min="23" max="23" width="20.85546875" bestFit="1" customWidth="1"/>
    <col min="24" max="24" width="22.42578125" bestFit="1" customWidth="1"/>
    <col min="25" max="25" width="14" bestFit="1" customWidth="1"/>
    <col min="26" max="26" width="22.42578125" bestFit="1" customWidth="1"/>
    <col min="27" max="27" width="19.140625" bestFit="1" customWidth="1"/>
    <col min="28" max="28" width="27.5703125" bestFit="1" customWidth="1"/>
    <col min="29" max="30" width="17" bestFit="1" customWidth="1"/>
  </cols>
  <sheetData>
    <row r="1" spans="1:28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28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28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28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28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  <c r="W5" s="9" t="s">
        <v>7</v>
      </c>
      <c r="X5" s="9" t="s">
        <v>40</v>
      </c>
    </row>
    <row r="6" spans="1:28">
      <c r="A6" s="3" t="s">
        <v>41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42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  <c r="W6" t="s">
        <v>22</v>
      </c>
      <c r="Y6" t="s">
        <v>29</v>
      </c>
      <c r="AA6" t="s">
        <v>43</v>
      </c>
      <c r="AB6" t="s">
        <v>44</v>
      </c>
    </row>
    <row r="7" spans="1:28">
      <c r="A7" s="3" t="s">
        <v>45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46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47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  <c r="V7" s="9" t="s">
        <v>6</v>
      </c>
      <c r="W7" t="s">
        <v>48</v>
      </c>
      <c r="X7" t="s">
        <v>49</v>
      </c>
      <c r="Y7" t="s">
        <v>48</v>
      </c>
      <c r="Z7" t="s">
        <v>49</v>
      </c>
    </row>
    <row r="8" spans="1:28">
      <c r="A8" s="3" t="s">
        <v>50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51</v>
      </c>
      <c r="J8" t="s">
        <v>52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  <c r="V8" t="s">
        <v>21</v>
      </c>
      <c r="W8" s="11">
        <v>52385</v>
      </c>
      <c r="X8" s="10">
        <v>55</v>
      </c>
      <c r="Y8" s="11">
        <v>41111</v>
      </c>
      <c r="Z8" s="10">
        <v>44</v>
      </c>
      <c r="AA8" s="11">
        <v>93496</v>
      </c>
      <c r="AB8" s="10">
        <v>99</v>
      </c>
    </row>
    <row r="9" spans="1:28">
      <c r="A9" s="3" t="s">
        <v>53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  <c r="V9" t="s">
        <v>36</v>
      </c>
      <c r="W9" s="11">
        <v>35559</v>
      </c>
      <c r="X9" s="10">
        <v>37</v>
      </c>
      <c r="Y9" s="11">
        <v>18403</v>
      </c>
      <c r="Z9" s="10">
        <v>24</v>
      </c>
      <c r="AA9" s="11">
        <v>53962</v>
      </c>
      <c r="AB9" s="10">
        <v>61</v>
      </c>
    </row>
    <row r="10" spans="1:28">
      <c r="A10" s="3" t="s">
        <v>54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  <c r="V10" t="s">
        <v>46</v>
      </c>
      <c r="W10" s="11">
        <v>9599</v>
      </c>
      <c r="X10" s="10">
        <v>16</v>
      </c>
      <c r="Y10" s="11">
        <v>6451</v>
      </c>
      <c r="Z10" s="10">
        <v>11</v>
      </c>
      <c r="AA10" s="11">
        <v>16050</v>
      </c>
      <c r="AB10" s="10">
        <v>27</v>
      </c>
    </row>
    <row r="11" spans="1:28">
      <c r="A11" s="3" t="s">
        <v>55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56</v>
      </c>
      <c r="J11" t="s">
        <v>57</v>
      </c>
      <c r="K11" t="s">
        <v>25</v>
      </c>
      <c r="L11" t="s">
        <v>26</v>
      </c>
      <c r="M11" s="5" t="s">
        <v>47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  <c r="V11" t="s">
        <v>58</v>
      </c>
      <c r="W11" s="11">
        <v>97543</v>
      </c>
      <c r="X11" s="10">
        <v>108</v>
      </c>
      <c r="Y11" s="11">
        <v>65965</v>
      </c>
      <c r="Z11" s="10">
        <v>79</v>
      </c>
      <c r="AA11" s="11">
        <v>163508</v>
      </c>
      <c r="AB11" s="10">
        <v>187</v>
      </c>
    </row>
    <row r="12" spans="1:28">
      <c r="A12" s="3" t="s">
        <v>59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60</v>
      </c>
      <c r="K12" t="s">
        <v>25</v>
      </c>
      <c r="L12" t="s">
        <v>26</v>
      </c>
      <c r="M12" s="5" t="s">
        <v>61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28">
      <c r="A13" s="3" t="s">
        <v>62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28">
      <c r="A14" s="3" t="s">
        <v>63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46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28">
      <c r="A15" s="3" t="s">
        <v>64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65</v>
      </c>
      <c r="J15" t="s">
        <v>66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28">
      <c r="A16" s="3" t="s">
        <v>67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68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69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61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70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71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72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73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46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74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75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65</v>
      </c>
      <c r="J21" t="s">
        <v>66</v>
      </c>
      <c r="K21" t="s">
        <v>25</v>
      </c>
      <c r="L21" t="s">
        <v>26</v>
      </c>
      <c r="M21" s="5" t="s">
        <v>61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76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77</v>
      </c>
      <c r="K22" t="s">
        <v>25</v>
      </c>
      <c r="L22" t="s">
        <v>26</v>
      </c>
      <c r="M22" s="5" t="s">
        <v>78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79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78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80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81</v>
      </c>
      <c r="K24" t="s">
        <v>25</v>
      </c>
      <c r="L24" t="s">
        <v>26</v>
      </c>
      <c r="M24" s="5" t="s">
        <v>82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83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56</v>
      </c>
      <c r="J25" t="s">
        <v>84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85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68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86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68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87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47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88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89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90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52</v>
      </c>
      <c r="K30" t="s">
        <v>25</v>
      </c>
      <c r="L30" t="s">
        <v>26</v>
      </c>
      <c r="M30" s="5" t="s">
        <v>91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92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47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93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46</v>
      </c>
      <c r="H32" t="s">
        <v>22</v>
      </c>
      <c r="I32" t="s">
        <v>94</v>
      </c>
      <c r="J32" t="s">
        <v>95</v>
      </c>
      <c r="K32" t="s">
        <v>25</v>
      </c>
      <c r="L32" t="s">
        <v>26</v>
      </c>
      <c r="M32" s="5" t="s">
        <v>47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96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71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97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65</v>
      </c>
      <c r="J34" t="s">
        <v>66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98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99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61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100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101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102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47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103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81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104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52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105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60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106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107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108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47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109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47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110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52</v>
      </c>
      <c r="K46" t="s">
        <v>25</v>
      </c>
      <c r="L46" t="s">
        <v>26</v>
      </c>
      <c r="M46" s="5" t="s">
        <v>61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111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112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81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113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114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47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115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47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116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94</v>
      </c>
      <c r="J52" t="s">
        <v>117</v>
      </c>
      <c r="K52" t="s">
        <v>25</v>
      </c>
      <c r="L52" t="s">
        <v>26</v>
      </c>
      <c r="M52" s="5" t="s">
        <v>118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119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52</v>
      </c>
      <c r="K53" t="s">
        <v>25</v>
      </c>
      <c r="L53" t="s">
        <v>26</v>
      </c>
      <c r="M53" s="5" t="s">
        <v>61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120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121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56</v>
      </c>
      <c r="J55" t="s">
        <v>57</v>
      </c>
      <c r="K55" t="s">
        <v>25</v>
      </c>
      <c r="L55" t="s">
        <v>26</v>
      </c>
      <c r="M55" s="5" t="s">
        <v>118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122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74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123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56</v>
      </c>
      <c r="J57" t="s">
        <v>57</v>
      </c>
      <c r="K57" t="s">
        <v>25</v>
      </c>
      <c r="L57" t="s">
        <v>26</v>
      </c>
      <c r="M57" s="5" t="s">
        <v>118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124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46</v>
      </c>
      <c r="H58" t="s">
        <v>22</v>
      </c>
      <c r="I58" t="s">
        <v>94</v>
      </c>
      <c r="J58" t="s">
        <v>125</v>
      </c>
      <c r="K58" t="s">
        <v>25</v>
      </c>
      <c r="L58" t="s">
        <v>26</v>
      </c>
      <c r="M58" s="5" t="s">
        <v>61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126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127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68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128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94</v>
      </c>
      <c r="J61" t="s">
        <v>95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129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52</v>
      </c>
      <c r="K62" t="s">
        <v>25</v>
      </c>
      <c r="L62" t="s">
        <v>26</v>
      </c>
      <c r="M62" s="5" t="s">
        <v>61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130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46</v>
      </c>
      <c r="H63" t="s">
        <v>29</v>
      </c>
      <c r="I63" t="s">
        <v>94</v>
      </c>
      <c r="J63" t="s">
        <v>131</v>
      </c>
      <c r="K63" t="s">
        <v>25</v>
      </c>
      <c r="L63" t="s">
        <v>26</v>
      </c>
      <c r="M63" s="5" t="s">
        <v>118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132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46</v>
      </c>
      <c r="H64" t="s">
        <v>22</v>
      </c>
      <c r="I64" t="s">
        <v>37</v>
      </c>
      <c r="J64" t="s">
        <v>81</v>
      </c>
      <c r="K64" t="s">
        <v>25</v>
      </c>
      <c r="L64" t="s">
        <v>26</v>
      </c>
      <c r="M64" s="5" t="s">
        <v>133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134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94</v>
      </c>
      <c r="J65" t="s">
        <v>95</v>
      </c>
      <c r="K65" t="s">
        <v>25</v>
      </c>
      <c r="L65" t="s">
        <v>26</v>
      </c>
      <c r="M65" s="5" t="s">
        <v>47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135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77</v>
      </c>
      <c r="K66" t="s">
        <v>25</v>
      </c>
      <c r="L66" t="s">
        <v>26</v>
      </c>
      <c r="M66" s="5" t="s">
        <v>136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137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77</v>
      </c>
      <c r="K67" t="s">
        <v>25</v>
      </c>
      <c r="L67" t="s">
        <v>26</v>
      </c>
      <c r="M67" s="5" t="s">
        <v>47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138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139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60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140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46</v>
      </c>
      <c r="H70" t="s">
        <v>29</v>
      </c>
      <c r="I70" t="s">
        <v>37</v>
      </c>
      <c r="J70" t="s">
        <v>141</v>
      </c>
      <c r="K70" t="s">
        <v>25</v>
      </c>
      <c r="L70" t="s">
        <v>26</v>
      </c>
      <c r="M70" s="5" t="s">
        <v>89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142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56</v>
      </c>
      <c r="J71" t="s">
        <v>143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144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52</v>
      </c>
      <c r="K72" t="s">
        <v>25</v>
      </c>
      <c r="L72" t="s">
        <v>26</v>
      </c>
      <c r="M72" s="5" t="s">
        <v>61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145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81</v>
      </c>
      <c r="K73" t="s">
        <v>25</v>
      </c>
      <c r="L73" t="s">
        <v>26</v>
      </c>
      <c r="M73" s="5" t="s">
        <v>82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146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60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147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65</v>
      </c>
      <c r="J75" t="s">
        <v>66</v>
      </c>
      <c r="K75" t="s">
        <v>25</v>
      </c>
      <c r="L75" t="s">
        <v>26</v>
      </c>
      <c r="M75" s="5" t="s">
        <v>148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149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60</v>
      </c>
      <c r="K76" t="s">
        <v>25</v>
      </c>
      <c r="L76" t="s">
        <v>26</v>
      </c>
      <c r="M76" s="5" t="s">
        <v>61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150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81</v>
      </c>
      <c r="K77" t="s">
        <v>25</v>
      </c>
      <c r="L77" t="s">
        <v>26</v>
      </c>
      <c r="M77" s="5" t="s">
        <v>61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151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94</v>
      </c>
      <c r="J78" t="s">
        <v>152</v>
      </c>
      <c r="K78" t="s">
        <v>25</v>
      </c>
      <c r="L78" t="s">
        <v>26</v>
      </c>
      <c r="M78" s="5" t="s">
        <v>61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153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46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154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52</v>
      </c>
      <c r="K80" t="s">
        <v>25</v>
      </c>
      <c r="L80" t="s">
        <v>26</v>
      </c>
      <c r="M80" s="5" t="s">
        <v>61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155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68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156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46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74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157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94</v>
      </c>
      <c r="J83" t="s">
        <v>95</v>
      </c>
      <c r="K83" t="s">
        <v>25</v>
      </c>
      <c r="L83" t="s">
        <v>26</v>
      </c>
      <c r="M83" s="5" t="s">
        <v>47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158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65</v>
      </c>
      <c r="J84" t="s">
        <v>66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159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56</v>
      </c>
      <c r="J85" t="s">
        <v>143</v>
      </c>
      <c r="K85" t="s">
        <v>25</v>
      </c>
      <c r="L85" t="s">
        <v>26</v>
      </c>
      <c r="M85" s="5" t="s">
        <v>61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160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77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161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65</v>
      </c>
      <c r="J87" t="s">
        <v>66</v>
      </c>
      <c r="K87" t="s">
        <v>25</v>
      </c>
      <c r="L87" t="s">
        <v>26</v>
      </c>
      <c r="M87" s="5" t="s">
        <v>68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162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78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163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60</v>
      </c>
      <c r="K89" t="s">
        <v>25</v>
      </c>
      <c r="L89" t="s">
        <v>26</v>
      </c>
      <c r="M89" s="5" t="s">
        <v>68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conditionalFormatting sqref="W5:AB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6:X17 W8:W11 Y8:Y11 AA8:AA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313A747A9E4F429189AA2F2CFD706C" ma:contentTypeVersion="11" ma:contentTypeDescription="Create a new document." ma:contentTypeScope="" ma:versionID="f122fedafea58dc4a7e195d4a0d5edc1">
  <xsd:schema xmlns:xsd="http://www.w3.org/2001/XMLSchema" xmlns:xs="http://www.w3.org/2001/XMLSchema" xmlns:p="http://schemas.microsoft.com/office/2006/metadata/properties" xmlns:ns2="65134eee-7fcf-453b-ab1a-ca2bf883d618" xmlns:ns3="43b1b106-0b9c-49e9-a4d5-4d97ae91593a" targetNamespace="http://schemas.microsoft.com/office/2006/metadata/properties" ma:root="true" ma:fieldsID="e762e094320ba1a3387976ce85269a50" ns2:_="" ns3:_="">
    <xsd:import namespace="65134eee-7fcf-453b-ab1a-ca2bf883d618"/>
    <xsd:import namespace="43b1b106-0b9c-49e9-a4d5-4d97ae9159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34eee-7fcf-453b-ab1a-ca2bf883d6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1b106-0b9c-49e9-a4d5-4d97ae9159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9e4099-6c38-4ad5-8d73-a4477230ed45}" ma:internalName="TaxCatchAll" ma:showField="CatchAllData" ma:web="43b1b106-0b9c-49e9-a4d5-4d97ae915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1b106-0b9c-49e9-a4d5-4d97ae91593a" xsi:nil="true"/>
    <lcf76f155ced4ddcb4097134ff3c332f xmlns="65134eee-7fcf-453b-ab1a-ca2bf883d6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3C9E1DCA-B35B-41D7-A4D0-92B4BB43BE55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Lewis Smith</cp:lastModifiedBy>
  <cp:revision/>
  <dcterms:created xsi:type="dcterms:W3CDTF">2022-11-04T20:14:11Z</dcterms:created>
  <dcterms:modified xsi:type="dcterms:W3CDTF">2025-10-30T16:12:42Z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0x01010007313A747A9E4F429189AA2F2CFD706C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